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97679158-CF40-47B2-B9D0-E96DFF1E5E08}" xr6:coauthVersionLast="47" xr6:coauthVersionMax="47" xr10:uidLastSave="{00000000-0000-0000-0000-000000000000}"/>
  <bookViews>
    <workbookView xWindow="-120" yWindow="-120" windowWidth="20730" windowHeight="11160" firstSheet="8" activeTab="10" xr2:uid="{00000000-000D-0000-FFFF-FFFF00000000}"/>
  </bookViews>
  <sheets>
    <sheet name="Table 1" sheetId="1" r:id="rId1"/>
    <sheet name="measure of central tendancy " sheetId="2" r:id="rId2"/>
    <sheet name="Measure of Despersion" sheetId="3" r:id="rId3"/>
    <sheet name="More Statistics Question" sheetId="6" r:id="rId4"/>
    <sheet name="Measure of Skewness &amp; kurtosis" sheetId="7" r:id="rId5"/>
    <sheet name="Percentile &amp; Quartile" sheetId="8" r:id="rId6"/>
    <sheet name="corelation &amp; covariance" sheetId="9" r:id="rId7"/>
    <sheet name=" discrete and continuous random" sheetId="17" r:id="rId8"/>
    <sheet name=" Discrete and Continuous" sheetId="18" r:id="rId9"/>
    <sheet name="Confidence Interval " sheetId="19" r:id="rId10"/>
    <sheet name="Hypothesis" sheetId="21" r:id="rId11"/>
  </sheets>
  <definedNames>
    <definedName name="_xlnm._FilterDatabase" localSheetId="3" hidden="1">'More Statistics Question'!$H$5:$H$55</definedName>
    <definedName name="_xlchart.v1.0" hidden="1">'More Statistics Question'!$U$6:$U$105</definedName>
    <definedName name="_xlchart.v1.1" hidden="1">'More Statistics Question'!$AP$3</definedName>
    <definedName name="_xlchart.v1.2" hidden="1">'More Statistics Question'!$AP$4:$AP$103</definedName>
    <definedName name="_xlchart.v1.3" hidden="1">'More Statistics Question'!$AE$4:$AE$53</definedName>
    <definedName name="_xlchart.v1.4" hidden="1">'More Statistics Question'!$N$6:$N$12</definedName>
    <definedName name="_xlchart.v1.5" hidden="1">'More Statistics Question'!$O$5</definedName>
    <definedName name="_xlchart.v1.6" hidden="1">'More Statistics Question'!$O$6:$O$12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 i="19" l="1"/>
  <c r="A13" i="19"/>
  <c r="A11" i="19"/>
  <c r="A4" i="19"/>
  <c r="A18" i="18"/>
  <c r="A15" i="18"/>
  <c r="A10" i="18"/>
  <c r="A7" i="18"/>
  <c r="A4" i="18"/>
  <c r="A25" i="17"/>
  <c r="A7" i="17"/>
  <c r="A11" i="17"/>
  <c r="A19" i="17"/>
  <c r="A36" i="17"/>
  <c r="A32" i="17"/>
  <c r="A40" i="17"/>
  <c r="A28" i="17"/>
  <c r="A15" i="17"/>
  <c r="A4" i="17"/>
  <c r="K7" i="9"/>
  <c r="J6" i="9"/>
  <c r="AI6" i="8" l="1"/>
  <c r="AI11" i="8"/>
  <c r="AH11" i="8"/>
  <c r="AG11" i="8"/>
  <c r="AH6" i="8"/>
  <c r="AG6" i="8"/>
  <c r="AB11" i="8"/>
  <c r="AA11" i="8"/>
  <c r="Z11" i="8"/>
  <c r="AB6" i="8"/>
  <c r="AA6" i="8"/>
  <c r="Z6" i="8"/>
  <c r="U11" i="8"/>
  <c r="T11" i="8"/>
  <c r="S11" i="8"/>
  <c r="U6" i="8"/>
  <c r="T6" i="8"/>
  <c r="S6" i="8"/>
  <c r="M11" i="8"/>
  <c r="L11" i="8"/>
  <c r="K11" i="8"/>
  <c r="M6" i="8"/>
  <c r="L6" i="8"/>
  <c r="K6" i="8"/>
  <c r="F10" i="8" l="1"/>
  <c r="E10" i="8"/>
  <c r="D10" i="8"/>
  <c r="C10" i="8"/>
  <c r="E6" i="8"/>
  <c r="D6" i="8"/>
  <c r="C6" i="8"/>
  <c r="AM8" i="7"/>
  <c r="AL8" i="7"/>
  <c r="AD8" i="7"/>
  <c r="AC8" i="7"/>
  <c r="U8" i="7"/>
  <c r="T8" i="7"/>
  <c r="L8" i="7"/>
  <c r="K8" i="7"/>
  <c r="D8" i="7"/>
  <c r="C8" i="7"/>
  <c r="BJ9" i="6"/>
  <c r="BI9" i="6"/>
  <c r="BH9" i="6"/>
  <c r="BJ5" i="6"/>
  <c r="BI5" i="6"/>
  <c r="BH5" i="6"/>
  <c r="AU3" i="6"/>
  <c r="AI3" i="6"/>
  <c r="D11" i="6"/>
  <c r="D12" i="6"/>
  <c r="D13" i="6"/>
  <c r="D14" i="6"/>
  <c r="D15" i="6"/>
  <c r="D16" i="6"/>
  <c r="D17" i="6"/>
  <c r="D18" i="6"/>
  <c r="D19" i="6"/>
  <c r="D20" i="6"/>
  <c r="D21" i="6"/>
  <c r="D22" i="6"/>
  <c r="D23" i="6"/>
  <c r="D24" i="6"/>
  <c r="D25" i="6"/>
  <c r="D26" i="6"/>
  <c r="D27" i="6"/>
  <c r="D28" i="6"/>
  <c r="D10" i="6"/>
  <c r="Y3" i="6"/>
  <c r="Q11" i="6"/>
  <c r="L5" i="6"/>
  <c r="K5" i="6"/>
  <c r="J5"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10" i="6"/>
  <c r="E5" i="6"/>
  <c r="D5" i="6"/>
  <c r="C5" i="6"/>
  <c r="C67" i="3" l="1"/>
  <c r="B67" i="3"/>
  <c r="C56" i="3"/>
  <c r="B56" i="3"/>
  <c r="C45" i="3"/>
  <c r="B45" i="3"/>
  <c r="D35" i="3"/>
  <c r="C35" i="3"/>
  <c r="B35" i="3"/>
  <c r="B26" i="3"/>
  <c r="D26" i="3"/>
  <c r="C26" i="3"/>
  <c r="E6" i="3"/>
  <c r="D6" i="3"/>
  <c r="F6" i="3"/>
  <c r="D81" i="3"/>
  <c r="C81" i="3"/>
  <c r="B81" i="3"/>
  <c r="I41" i="2"/>
  <c r="H41" i="2"/>
  <c r="G41" i="2"/>
  <c r="F14" i="2"/>
  <c r="D14" i="2"/>
  <c r="C14" i="2"/>
  <c r="F5" i="2"/>
  <c r="E5" i="2"/>
  <c r="D5" i="2"/>
  <c r="B20" i="1"/>
  <c r="B18" i="1"/>
  <c r="A16" i="1"/>
  <c r="A10" i="1"/>
  <c r="A8" i="1"/>
  <c r="A6" i="1"/>
</calcChain>
</file>

<file path=xl/sharedStrings.xml><?xml version="1.0" encoding="utf-8"?>
<sst xmlns="http://schemas.openxmlformats.org/spreadsheetml/2006/main" count="586" uniqueCount="438">
  <si>
    <r>
      <rPr>
        <b/>
        <sz val="13"/>
        <rFont val="Arial"/>
        <family val="2"/>
      </rPr>
      <t>Questions on measure of central tendency</t>
    </r>
  </si>
  <si>
    <r>
      <rPr>
        <b/>
        <i/>
        <sz val="11"/>
        <rFont val="Arial"/>
        <family val="2"/>
      </rPr>
      <t>1)   Business Problem: A retail store wants to analyze the sales data of a particular product category to understand the typical sales performance and make strategic decisions.</t>
    </r>
  </si>
  <si>
    <r>
      <rPr>
        <sz val="11"/>
        <rFont val="Arial MT"/>
        <family val="2"/>
      </rPr>
      <t xml:space="preserve">Data:
</t>
    </r>
    <r>
      <rPr>
        <sz val="11"/>
        <rFont val="Arial MT"/>
        <family val="2"/>
      </rPr>
      <t>Let's consider the weekly sales data (in units) for the past month for a specific product category:</t>
    </r>
  </si>
  <si>
    <r>
      <rPr>
        <sz val="11"/>
        <rFont val="Arial MT"/>
        <family val="2"/>
      </rPr>
      <t xml:space="preserve">Week 1: 50 units
</t>
    </r>
    <r>
      <rPr>
        <sz val="11"/>
        <rFont val="Arial MT"/>
        <family val="2"/>
      </rPr>
      <t xml:space="preserve">Week 2: 60 units
</t>
    </r>
    <r>
      <rPr>
        <sz val="11"/>
        <rFont val="Arial MT"/>
        <family val="2"/>
      </rPr>
      <t xml:space="preserve">Week 3: 55 units
</t>
    </r>
    <r>
      <rPr>
        <sz val="11"/>
        <rFont val="Arial MT"/>
        <family val="2"/>
      </rPr>
      <t>Week 4: 70 units</t>
    </r>
  </si>
  <si>
    <r>
      <rPr>
        <sz val="11"/>
        <rFont val="Arial MT"/>
        <family val="2"/>
      </rPr>
      <t xml:space="preserve">Question:
</t>
    </r>
    <r>
      <rPr>
        <sz val="11"/>
        <rFont val="Arial MT"/>
        <family val="2"/>
      </rPr>
      <t>1. Mean: What is the average weekly sales of the product category?</t>
    </r>
  </si>
  <si>
    <r>
      <rPr>
        <sz val="11"/>
        <rFont val="Arial MT"/>
        <family val="2"/>
      </rPr>
      <t>2. Median: What is the typical or central sales value for the product category?</t>
    </r>
  </si>
  <si>
    <r>
      <rPr>
        <sz val="11"/>
        <rFont val="Arial MT"/>
        <family val="2"/>
      </rPr>
      <t xml:space="preserve">3. Mode: Are there any recurring or most frequently occurring sales figures for the
</t>
    </r>
    <r>
      <rPr>
        <sz val="11"/>
        <rFont val="Arial MT"/>
        <family val="2"/>
      </rPr>
      <t>product category?</t>
    </r>
  </si>
  <si>
    <r>
      <rPr>
        <sz val="11"/>
        <rFont val="Arial MT"/>
        <family val="2"/>
      </rPr>
      <t>By answering these questions using the mean, median, and mode, the retail store can gain insights into the sales performance of the product category, identify any patterns or outliers, and make informed decisions regarding stock management, marketing strategies, and product placement.</t>
    </r>
  </si>
  <si>
    <r>
      <rPr>
        <b/>
        <i/>
        <sz val="11"/>
        <rFont val="Arial"/>
        <family val="2"/>
      </rPr>
      <t>2)   Business Problem: A restaurant wants to analyze the waiting times of its customers to understand the typical waiting experience and improve service efficiency.</t>
    </r>
  </si>
  <si>
    <r>
      <rPr>
        <sz val="11"/>
        <rFont val="Arial MT"/>
        <family val="2"/>
      </rPr>
      <t xml:space="preserve">Data:
</t>
    </r>
    <r>
      <rPr>
        <sz val="11"/>
        <rFont val="Arial MT"/>
        <family val="2"/>
      </rPr>
      <t>Let's consider the waiting times (in minutes) for the past 20 customers:</t>
    </r>
  </si>
  <si>
    <r>
      <rPr>
        <sz val="11"/>
        <rFont val="Arial MT"/>
        <family val="2"/>
      </rPr>
      <t xml:space="preserve">15, 10, 20, 25, 15, 10, 30, 20, 15, 10,
</t>
    </r>
    <r>
      <rPr>
        <sz val="11"/>
        <rFont val="Arial MT"/>
        <family val="2"/>
      </rPr>
      <t>10, 25, 15, 20, 20, 15, 10, 10, 20, 25</t>
    </r>
  </si>
  <si>
    <r>
      <rPr>
        <sz val="11"/>
        <rFont val="Arial MT"/>
        <family val="2"/>
      </rPr>
      <t xml:space="preserve">Question:
</t>
    </r>
    <r>
      <rPr>
        <sz val="11"/>
        <rFont val="Arial MT"/>
        <family val="2"/>
      </rPr>
      <t>1. Mean: What is the average waiting time for customers at the restaurant?</t>
    </r>
  </si>
  <si>
    <r>
      <rPr>
        <sz val="11"/>
        <rFont val="Arial MT"/>
        <family val="2"/>
      </rPr>
      <t>2. Median: What is the typical or central waiting time experienced by customers?</t>
    </r>
  </si>
  <si>
    <r>
      <rPr>
        <sz val="11"/>
        <rFont val="Arial MT"/>
        <family val="2"/>
      </rPr>
      <t xml:space="preserve">3. Mode: Are there any recurring or most frequently occurring waiting times for
</t>
    </r>
    <r>
      <rPr>
        <sz val="11"/>
        <rFont val="Arial MT"/>
        <family val="2"/>
      </rPr>
      <t>customers?</t>
    </r>
  </si>
  <si>
    <r>
      <rPr>
        <sz val="11"/>
        <rFont val="Arial MT"/>
        <family val="2"/>
      </rPr>
      <t>By answering these questions using the mean, median, and mode, the restaurant can gain insights into the average waiting time, identify any common or peak waiting periods, and make informed decisions to optimize the customer service process, such as adjusting staffing levels, streamlining operations, or implementing strategies to reduce waiting times.</t>
    </r>
  </si>
  <si>
    <r>
      <rPr>
        <b/>
        <i/>
        <sz val="11"/>
        <rFont val="Arial"/>
        <family val="2"/>
      </rPr>
      <t>3)   Business Problem: A car rental company wants to analyze the rental durations of its customers to understand the typical rental period and optimize its pricing and fleet management strategies.</t>
    </r>
  </si>
  <si>
    <r>
      <rPr>
        <sz val="11"/>
        <rFont val="Arial MT"/>
        <family val="2"/>
      </rPr>
      <t xml:space="preserve">Data:
</t>
    </r>
    <r>
      <rPr>
        <sz val="11"/>
        <rFont val="Arial MT"/>
        <family val="2"/>
      </rPr>
      <t>Let's consider the rental durations (in days) for a sample of 50 customers:</t>
    </r>
  </si>
  <si>
    <r>
      <rPr>
        <sz val="11"/>
        <rFont val="Arial MT"/>
        <family val="2"/>
      </rPr>
      <t xml:space="preserve">Question:
</t>
    </r>
    <r>
      <rPr>
        <sz val="11"/>
        <rFont val="Arial MT"/>
        <family val="2"/>
      </rPr>
      <t>1. Mean: What is the average rental duration for customers at the car rental company?</t>
    </r>
  </si>
  <si>
    <r>
      <rPr>
        <sz val="11"/>
        <rFont val="Arial MT"/>
        <family val="2"/>
      </rPr>
      <t>2. Median: What is the typical or central rental duration experienced by customers?</t>
    </r>
  </si>
  <si>
    <r>
      <rPr>
        <sz val="11"/>
        <rFont val="Arial MT"/>
        <family val="2"/>
      </rPr>
      <t xml:space="preserve">3. Mode: Are there any recurring or most frequently occurring rental durations for
</t>
    </r>
    <r>
      <rPr>
        <sz val="11"/>
        <rFont val="Arial MT"/>
        <family val="2"/>
      </rPr>
      <t>customers?</t>
    </r>
  </si>
  <si>
    <r>
      <rPr>
        <sz val="11"/>
        <rFont val="Arial MT"/>
        <family val="2"/>
      </rPr>
      <t>By answering these questions using the mean, median, and mode, the car rental company can gain insights into the average rental duration, understand the most common rental periods, and make informed decisions regarding pricing, fleet size, and availability. Additionally, this analysis can help the company optimize resource allocation, plan for peak demand periods, and enhance customer satisfaction by aligning service offerings with customers' typical rental needs.</t>
    </r>
  </si>
  <si>
    <r>
      <rPr>
        <b/>
        <sz val="13"/>
        <rFont val="Arial"/>
        <family val="2"/>
      </rPr>
      <t>Questions on measure of dispersion</t>
    </r>
  </si>
  <si>
    <r>
      <rPr>
        <b/>
        <i/>
        <sz val="11"/>
        <rFont val="Arial"/>
        <family val="2"/>
      </rPr>
      <t xml:space="preserve">1)   Problem: A manufacturing company wants to analyze the production output of a
</t>
    </r>
    <r>
      <rPr>
        <b/>
        <i/>
        <sz val="11"/>
        <rFont val="Arial"/>
        <family val="2"/>
      </rPr>
      <t>specific machine to understand the variability or spread in its performance.</t>
    </r>
  </si>
  <si>
    <r>
      <rPr>
        <sz val="11"/>
        <rFont val="Arial MT"/>
        <family val="2"/>
      </rPr>
      <t xml:space="preserve">Data:
</t>
    </r>
    <r>
      <rPr>
        <sz val="11"/>
        <rFont val="Arial MT"/>
        <family val="2"/>
      </rPr>
      <t>Let's consider the number of units produced per hour by the machine for a sample of 10 working days:</t>
    </r>
  </si>
  <si>
    <r>
      <rPr>
        <sz val="11"/>
        <rFont val="Arial MT"/>
        <family val="2"/>
      </rPr>
      <t xml:space="preserve">Question:
</t>
    </r>
    <r>
      <rPr>
        <sz val="11"/>
        <rFont val="Arial MT"/>
        <family val="2"/>
      </rPr>
      <t>1. Range: What is the range of the production output for the machine?</t>
    </r>
  </si>
  <si>
    <r>
      <rPr>
        <sz val="11"/>
        <rFont val="Arial MT"/>
        <family val="2"/>
      </rPr>
      <t>2. Variance: What is the variance of the production output for the machine?</t>
    </r>
  </si>
  <si>
    <r>
      <rPr>
        <sz val="11"/>
        <rFont val="Arial MT"/>
        <family val="2"/>
      </rPr>
      <t xml:space="preserve">3. Standard Deviation: What is the standard deviation of the production output for the
</t>
    </r>
    <r>
      <rPr>
        <sz val="11"/>
        <rFont val="Arial MT"/>
        <family val="2"/>
      </rPr>
      <t>machine?</t>
    </r>
  </si>
  <si>
    <r>
      <rPr>
        <sz val="11"/>
        <rFont val="Arial MT"/>
        <family val="2"/>
      </rPr>
      <t>By answering these questions using different measures of dispersion, the manufacturing company can gain insights into the variability in the machine's production output. This information can help identify any fluctuations, assess the consistency of performance, and make informed decisions regarding quality control, scheduling, and resource allocation.</t>
    </r>
  </si>
  <si>
    <r>
      <rPr>
        <b/>
        <i/>
        <sz val="11"/>
        <rFont val="Arial"/>
        <family val="2"/>
      </rPr>
      <t xml:space="preserve">2)   Problem: A retail store wants to analyze the sales of a specific product to
</t>
    </r>
    <r>
      <rPr>
        <b/>
        <i/>
        <sz val="11"/>
        <rFont val="Arial"/>
        <family val="2"/>
      </rPr>
      <t>understand the variability in daily sales and assess its inventory management.</t>
    </r>
  </si>
  <si>
    <r>
      <rPr>
        <sz val="11"/>
        <rFont val="Arial MT"/>
        <family val="2"/>
      </rPr>
      <t xml:space="preserve">Data:
</t>
    </r>
    <r>
      <rPr>
        <sz val="11"/>
        <rFont val="Arial MT"/>
        <family val="2"/>
      </rPr>
      <t>Let's consider the daily sales (in dollars) for the past 30 days:</t>
    </r>
  </si>
  <si>
    <r>
      <rPr>
        <sz val="11"/>
        <rFont val="Arial MT"/>
        <family val="2"/>
      </rPr>
      <t>$500, $700, $400, $600, $550, $750, $650, $500, $600, $550,</t>
    </r>
  </si>
  <si>
    <r>
      <rPr>
        <sz val="11"/>
        <rFont val="Arial MT"/>
        <family val="2"/>
      </rPr>
      <t xml:space="preserve">$800, $450, $700, $550, $600, $400, $650, $500, $750, $550,
</t>
    </r>
    <r>
      <rPr>
        <sz val="11"/>
        <rFont val="Arial MT"/>
        <family val="2"/>
      </rPr>
      <t>$700, $600, $500, $800, $550, $650, $400, $600, $750, $550</t>
    </r>
  </si>
  <si>
    <r>
      <rPr>
        <sz val="11"/>
        <rFont val="Arial MT"/>
        <family val="2"/>
      </rPr>
      <t xml:space="preserve">Questions:
</t>
    </r>
    <r>
      <rPr>
        <sz val="11"/>
        <rFont val="Arial MT"/>
        <family val="2"/>
      </rPr>
      <t>1. Range: What is the range of the daily sales?</t>
    </r>
  </si>
  <si>
    <r>
      <rPr>
        <sz val="11"/>
        <rFont val="Arial MT"/>
        <family val="2"/>
      </rPr>
      <t>2. Variance: What is the variance of the daily sales?</t>
    </r>
  </si>
  <si>
    <r>
      <rPr>
        <sz val="11"/>
        <rFont val="Arial MT"/>
        <family val="2"/>
      </rPr>
      <t>3. Standard Deviation: What is the standard deviation of the daily sales?</t>
    </r>
  </si>
  <si>
    <r>
      <rPr>
        <sz val="11"/>
        <rFont val="Arial MT"/>
        <family val="2"/>
      </rPr>
      <t>By answering these questions using different measures of dispersion, the retail store can gain insights into the variability in daily sales, assess the consistency of demand, and make informed decisions regarding inventory stocking levels, sales forecasting, and pricing strategies.</t>
    </r>
  </si>
  <si>
    <r>
      <rPr>
        <b/>
        <i/>
        <sz val="11"/>
        <rFont val="Arial"/>
        <family val="2"/>
      </rPr>
      <t>3)   Problem: An e-commerce platform wants to analyze the delivery times of its shipments to understand the variability in order fulfillment and optimize its logistics operations.</t>
    </r>
  </si>
  <si>
    <r>
      <rPr>
        <sz val="11"/>
        <rFont val="Arial MT"/>
        <family val="2"/>
      </rPr>
      <t xml:space="preserve">Data:
</t>
    </r>
    <r>
      <rPr>
        <sz val="11"/>
        <rFont val="Arial MT"/>
        <family val="2"/>
      </rPr>
      <t>Let's consider the delivery times (in days) for a sample of 50 shipments:</t>
    </r>
  </si>
  <si>
    <r>
      <rPr>
        <sz val="11"/>
        <rFont val="Arial MT"/>
        <family val="2"/>
      </rPr>
      <t xml:space="preserve">3, 5, 2, 4, 6, 2, 3, 4, 2, 5,
</t>
    </r>
    <r>
      <rPr>
        <sz val="11"/>
        <rFont val="Arial MT"/>
        <family val="2"/>
      </rPr>
      <t xml:space="preserve">7, 2, 3, 4, 2, 4, 2, 3, 5, 6,
</t>
    </r>
    <r>
      <rPr>
        <sz val="11"/>
        <rFont val="Arial MT"/>
        <family val="2"/>
      </rPr>
      <t xml:space="preserve">3, 2, 1, 4, 2, 4, 5, 3, 2, 7,
</t>
    </r>
    <r>
      <rPr>
        <sz val="11"/>
        <rFont val="Arial MT"/>
        <family val="2"/>
      </rPr>
      <t xml:space="preserve">2, 3, 4, 5, 1, 6, 2, 4, 3, 5,
</t>
    </r>
    <r>
      <rPr>
        <sz val="11"/>
        <rFont val="Arial MT"/>
        <family val="2"/>
      </rPr>
      <t>3, 2, 4, 2, 6, 3, 2, 4, 5, 3</t>
    </r>
  </si>
  <si>
    <r>
      <rPr>
        <sz val="11"/>
        <rFont val="Arial MT"/>
        <family val="2"/>
      </rPr>
      <t xml:space="preserve">Questions:
</t>
    </r>
    <r>
      <rPr>
        <sz val="11"/>
        <rFont val="Arial MT"/>
        <family val="2"/>
      </rPr>
      <t>1. Range: What is the range of the delivery times?</t>
    </r>
  </si>
  <si>
    <r>
      <rPr>
        <sz val="11"/>
        <rFont val="Arial MT"/>
        <family val="2"/>
      </rPr>
      <t>2. Variance: What is the variance of the delivery times?</t>
    </r>
  </si>
  <si>
    <r>
      <rPr>
        <sz val="11"/>
        <rFont val="Arial MT"/>
        <family val="2"/>
      </rPr>
      <t>3. Standard Deviation: What is the standard deviation of the delivery times?</t>
    </r>
  </si>
  <si>
    <r>
      <rPr>
        <sz val="11"/>
        <rFont val="Arial MT"/>
        <family val="2"/>
      </rPr>
      <t>By answering these questions using different measures of dispersion, the e-commerce platform can gain insights into the variability in delivery times, identify any bottlenecks in the logistics process, and make informed decisions regarding shipment tracking, customer expectations, and service level agreements.</t>
    </r>
  </si>
  <si>
    <r>
      <rPr>
        <b/>
        <i/>
        <sz val="11"/>
        <rFont val="Arial"/>
        <family val="2"/>
      </rPr>
      <t xml:space="preserve">4)   Problem : A company wants to analyze the monthly revenue generated by one of
</t>
    </r>
    <r>
      <rPr>
        <b/>
        <i/>
        <sz val="11"/>
        <rFont val="Arial"/>
        <family val="2"/>
      </rPr>
      <t>its products to understand its performance and variability.</t>
    </r>
  </si>
  <si>
    <r>
      <rPr>
        <sz val="11"/>
        <rFont val="Arial MT"/>
        <family val="2"/>
      </rPr>
      <t xml:space="preserve">Data:
</t>
    </r>
    <r>
      <rPr>
        <sz val="11"/>
        <rFont val="Arial MT"/>
        <family val="2"/>
      </rPr>
      <t>Let's consider the monthly revenue (in thousands of dollars) for the past 12 months:</t>
    </r>
  </si>
  <si>
    <r>
      <rPr>
        <sz val="11"/>
        <rFont val="Arial MT"/>
        <family val="2"/>
      </rPr>
      <t>$120, $150, $110, $135, $125, $140, $130, $155, $115, $145, $135, $130</t>
    </r>
  </si>
  <si>
    <r>
      <rPr>
        <sz val="11"/>
        <rFont val="Arial MT"/>
        <family val="2"/>
      </rPr>
      <t xml:space="preserve">Questions:
</t>
    </r>
    <r>
      <rPr>
        <sz val="11"/>
        <rFont val="Arial MT"/>
        <family val="2"/>
      </rPr>
      <t xml:space="preserve">1. Measure of Central Tendency: What is the average monthly revenue for the product?
</t>
    </r>
    <r>
      <rPr>
        <sz val="11"/>
        <rFont val="Arial MT"/>
        <family val="2"/>
      </rPr>
      <t>2. Measure of Dispersion: What is the range of monthly revenue for the product?</t>
    </r>
  </si>
  <si>
    <r>
      <rPr>
        <sz val="11"/>
        <rFont val="Arial MT"/>
        <family val="2"/>
      </rPr>
      <t>By answering these questions, the company can gain insights into the average revenue generated by the product and understand the range or variability in its monthly revenue, which can help with financial planning, forecasting, and evaluating the product's performance.</t>
    </r>
  </si>
  <si>
    <r>
      <rPr>
        <b/>
        <i/>
        <sz val="11"/>
        <rFont val="Arial"/>
        <family val="2"/>
      </rPr>
      <t xml:space="preserve">5)   Problem : A survey was conducted to gather feedback from customers regarding
</t>
    </r>
    <r>
      <rPr>
        <b/>
        <i/>
        <sz val="11"/>
        <rFont val="Arial"/>
        <family val="2"/>
      </rPr>
      <t>their satisfaction with a particular service on a scale of 1 to 10.</t>
    </r>
  </si>
  <si>
    <r>
      <rPr>
        <sz val="11"/>
        <rFont val="Arial MT"/>
        <family val="2"/>
      </rPr>
      <t xml:space="preserve">Data:
</t>
    </r>
    <r>
      <rPr>
        <sz val="11"/>
        <rFont val="Arial MT"/>
        <family val="2"/>
      </rPr>
      <t>Let's consider the satisfaction ratings from 50 customers:</t>
    </r>
  </si>
  <si>
    <r>
      <rPr>
        <sz val="11"/>
        <rFont val="Arial MT"/>
        <family val="2"/>
      </rPr>
      <t xml:space="preserve">8, 7, 9, 6, 7, 8, 9, 8, 7, 6,
</t>
    </r>
    <r>
      <rPr>
        <sz val="11"/>
        <rFont val="Arial MT"/>
        <family val="2"/>
      </rPr>
      <t xml:space="preserve">8, 9, 7, 8, 7, 6, 8, 9, 6, 7,
</t>
    </r>
    <r>
      <rPr>
        <sz val="11"/>
        <rFont val="Arial MT"/>
        <family val="2"/>
      </rPr>
      <t xml:space="preserve">8, 9, 7, 6, 7, 8, 9, 8, 7, 6,
</t>
    </r>
    <r>
      <rPr>
        <sz val="11"/>
        <rFont val="Arial MT"/>
        <family val="2"/>
      </rPr>
      <t xml:space="preserve">9, 8, 7, 6, 8, 9, 7, 8, 7, 6,
</t>
    </r>
    <r>
      <rPr>
        <sz val="11"/>
        <rFont val="Arial MT"/>
        <family val="2"/>
      </rPr>
      <t>9, 8, 7, 6, 7, 8, 9, 8, 7, 6</t>
    </r>
  </si>
  <si>
    <r>
      <rPr>
        <sz val="11"/>
        <rFont val="Arial MT"/>
        <family val="2"/>
      </rPr>
      <t xml:space="preserve">Questions:
</t>
    </r>
    <r>
      <rPr>
        <sz val="11"/>
        <rFont val="Arial MT"/>
        <family val="2"/>
      </rPr>
      <t xml:space="preserve">1. Measure of Central Tendency: What is the average satisfaction rating?
</t>
    </r>
    <r>
      <rPr>
        <sz val="11"/>
        <rFont val="Arial MT"/>
        <family val="2"/>
      </rPr>
      <t>2. Measure of Dispersion: What is the standard deviation of the satisfaction ratings?</t>
    </r>
  </si>
  <si>
    <r>
      <rPr>
        <sz val="11"/>
        <rFont val="Arial MT"/>
        <family val="2"/>
      </rPr>
      <t>By answering these questions, the company can gain insights into the average satisfaction rating of customers and understand the spread or variability in their ratings. This information can help identify areas for improvement, evaluate customer perception, and make informed decisions to enhance the service quality.</t>
    </r>
  </si>
  <si>
    <r>
      <rPr>
        <b/>
        <i/>
        <sz val="11"/>
        <rFont val="Arial"/>
        <family val="2"/>
      </rPr>
      <t xml:space="preserve">6)   Problem :A company wants to analyze the customer wait times at its call center to
</t>
    </r>
    <r>
      <rPr>
        <b/>
        <i/>
        <sz val="11"/>
        <rFont val="Arial"/>
        <family val="2"/>
      </rPr>
      <t>assess the efficiency of its customer service operations.</t>
    </r>
  </si>
  <si>
    <r>
      <rPr>
        <sz val="11"/>
        <rFont val="Arial MT"/>
        <family val="2"/>
      </rPr>
      <t xml:space="preserve">Data:
</t>
    </r>
    <r>
      <rPr>
        <sz val="11"/>
        <rFont val="Arial MT"/>
        <family val="2"/>
      </rPr>
      <t>Let's consider the wait times (in minutes) for a sample of 100 randomly selected customer calls:</t>
    </r>
  </si>
  <si>
    <r>
      <rPr>
        <sz val="11"/>
        <rFont val="Arial MT"/>
        <family val="2"/>
      </rPr>
      <t xml:space="preserve">10, 15, 12, 18, 20, 25, 8, 14, 16, 22,
</t>
    </r>
    <r>
      <rPr>
        <sz val="11"/>
        <rFont val="Arial MT"/>
        <family val="2"/>
      </rPr>
      <t xml:space="preserve">9, 17, 11, 13, 19, 23, 21, 16, 24, 27,
</t>
    </r>
    <r>
      <rPr>
        <sz val="11"/>
        <rFont val="Arial MT"/>
        <family val="2"/>
      </rPr>
      <t xml:space="preserve">13, 10, 18, 16, 12, 14, 19, 21, 11, 17,
</t>
    </r>
    <r>
      <rPr>
        <sz val="11"/>
        <rFont val="Arial MT"/>
        <family val="2"/>
      </rPr>
      <t xml:space="preserve">15, 20, 26, 13, 12, 14, 22, 19, 16, 11,
</t>
    </r>
    <r>
      <rPr>
        <sz val="11"/>
        <rFont val="Arial MT"/>
        <family val="2"/>
      </rPr>
      <t xml:space="preserve">25, 18, 16, 13, 21, 20, 15, 12, 19, 17,
</t>
    </r>
    <r>
      <rPr>
        <sz val="11"/>
        <rFont val="Arial MT"/>
        <family val="2"/>
      </rPr>
      <t xml:space="preserve">14, 16, 23, 18, 15, 11, 19, 22, 17, 12,
</t>
    </r>
    <r>
      <rPr>
        <sz val="11"/>
        <rFont val="Arial MT"/>
        <family val="2"/>
      </rPr>
      <t xml:space="preserve">16, 14, 18, 20, 25, 13, 11, 22, 19, 17,
</t>
    </r>
    <r>
      <rPr>
        <sz val="11"/>
        <rFont val="Arial MT"/>
        <family val="2"/>
      </rPr>
      <t xml:space="preserve">15, 16, 13, 14, 18, 20, 19, 21, 17, 12,
</t>
    </r>
    <r>
      <rPr>
        <sz val="11"/>
        <rFont val="Arial MT"/>
        <family val="2"/>
      </rPr>
      <t xml:space="preserve">15, 13, 16, 14, 22, 21, 19, 18, 16, 11,
</t>
    </r>
    <r>
      <rPr>
        <sz val="11"/>
        <rFont val="Arial MT"/>
        <family val="2"/>
      </rPr>
      <t>17, 14, 12, 20, 23, 19, 15, 16, 13, 18</t>
    </r>
  </si>
  <si>
    <r>
      <rPr>
        <sz val="11"/>
        <rFont val="Arial MT"/>
        <family val="2"/>
      </rPr>
      <t xml:space="preserve">Questions:
</t>
    </r>
    <r>
      <rPr>
        <sz val="11"/>
        <rFont val="Arial MT"/>
        <family val="2"/>
      </rPr>
      <t xml:space="preserve">1. Measure of Central Tendency: What is the average wait time for customers at the call center?
</t>
    </r>
    <r>
      <rPr>
        <sz val="11"/>
        <rFont val="Arial MT"/>
        <family val="2"/>
      </rPr>
      <t xml:space="preserve">2. Measure of Dispersion: What is the range of wait times for customers at the call center?
</t>
    </r>
    <r>
      <rPr>
        <sz val="11"/>
        <rFont val="Arial MT"/>
        <family val="2"/>
      </rPr>
      <t xml:space="preserve">3. Measure of Dispersion: What is the standard deviation of the wait times for customers
</t>
    </r>
    <r>
      <rPr>
        <sz val="11"/>
        <rFont val="Arial MT"/>
        <family val="2"/>
      </rPr>
      <t>at the call center?</t>
    </r>
  </si>
  <si>
    <r>
      <rPr>
        <sz val="11"/>
        <rFont val="Arial MT"/>
        <family val="2"/>
      </rPr>
      <t>By answering these questions, the company can gain insights into the average wait time experienced by customers, assess the variability or spread in the wait times, and make informed decisions regarding staffing levels, call center efficiency, and customer satisfaction.</t>
    </r>
  </si>
  <si>
    <r>
      <rPr>
        <b/>
        <i/>
        <sz val="11"/>
        <rFont val="Arial"/>
        <family val="2"/>
      </rPr>
      <t xml:space="preserve">7)   Problem : A transportation company wants to analyze the fuel efficiency of its
</t>
    </r>
    <r>
      <rPr>
        <b/>
        <i/>
        <sz val="11"/>
        <rFont val="Arial"/>
        <family val="2"/>
      </rPr>
      <t>vehicle fleet to identify any variations across different vehicle models.</t>
    </r>
  </si>
  <si>
    <r>
      <rPr>
        <sz val="11"/>
        <rFont val="Arial MT"/>
        <family val="2"/>
      </rPr>
      <t xml:space="preserve">Data:
</t>
    </r>
    <r>
      <rPr>
        <sz val="11"/>
        <rFont val="Arial MT"/>
        <family val="2"/>
      </rPr>
      <t>Let's consider the fuel efficiency (in miles per gallon, mpg) for a sample of 50 vehicles:</t>
    </r>
  </si>
  <si>
    <r>
      <rPr>
        <sz val="11"/>
        <rFont val="Arial MT"/>
        <family val="2"/>
      </rPr>
      <t xml:space="preserve">Questions:
</t>
    </r>
    <r>
      <rPr>
        <sz val="11"/>
        <rFont val="Arial MT"/>
        <family val="2"/>
      </rPr>
      <t xml:space="preserve">1. Measure of Central Tendency: What is the average fuel efficiency for each vehicle model?
</t>
    </r>
    <r>
      <rPr>
        <sz val="11"/>
        <rFont val="Arial MT"/>
        <family val="2"/>
      </rPr>
      <t xml:space="preserve">2. Measure of Dispersion: What is the range of fuel efficiency for each vehicle model?
</t>
    </r>
    <r>
      <rPr>
        <sz val="11"/>
        <rFont val="Arial MT"/>
        <family val="2"/>
      </rPr>
      <t>3. Measure of Dispersion: What is the variance of the fuel efficiency for each vehicle model?</t>
    </r>
  </si>
  <si>
    <r>
      <rPr>
        <sz val="11"/>
        <rFont val="Arial MT"/>
        <family val="2"/>
      </rPr>
      <t>By answering these questions, the transportation company can</t>
    </r>
  </si>
  <si>
    <r>
      <rPr>
        <sz val="11"/>
        <rFont val="Arial MT"/>
        <family val="2"/>
      </rPr>
      <t>gain insights into the average fuel efficiency of different vehicle models, understand the variations or spread in the fuel efficiency, and make informed decisions regarding fleet management, vehicle selection, and fuel consumption optimization.</t>
    </r>
  </si>
  <si>
    <r>
      <rPr>
        <b/>
        <sz val="13"/>
        <rFont val="Arial"/>
        <family val="2"/>
      </rPr>
      <t>More Statistics Questions</t>
    </r>
  </si>
  <si>
    <r>
      <rPr>
        <b/>
        <i/>
        <sz val="11"/>
        <rFont val="Arial"/>
        <family val="2"/>
      </rPr>
      <t xml:space="preserve">8)   Problem : A company wants to analyze the ages of its employees to understand
</t>
    </r>
    <r>
      <rPr>
        <b/>
        <i/>
        <sz val="11"/>
        <rFont val="Arial"/>
        <family val="2"/>
      </rPr>
      <t>the age distribution and demographics within the organization.</t>
    </r>
  </si>
  <si>
    <r>
      <rPr>
        <sz val="11"/>
        <rFont val="Arial MT"/>
        <family val="2"/>
      </rPr>
      <t xml:space="preserve">Data:
</t>
    </r>
    <r>
      <rPr>
        <sz val="11"/>
        <rFont val="Arial MT"/>
        <family val="2"/>
      </rPr>
      <t>Let's consider the ages of 100 employees:</t>
    </r>
  </si>
  <si>
    <r>
      <rPr>
        <sz val="11"/>
        <rFont val="Arial MT"/>
        <family val="2"/>
      </rPr>
      <t xml:space="preserve">28, 32, 35, 40, 42, 28, 33, 38, 30, 41,
</t>
    </r>
    <r>
      <rPr>
        <sz val="11"/>
        <rFont val="Arial MT"/>
        <family val="2"/>
      </rPr>
      <t xml:space="preserve">37, 31, 34, 29, 36, 43, 39, 27, 35, 31,
</t>
    </r>
    <r>
      <rPr>
        <sz val="11"/>
        <rFont val="Arial MT"/>
        <family val="2"/>
      </rPr>
      <t xml:space="preserve">39, 45, 29, 33, 37, 40, 36, 29, 31, 38,
</t>
    </r>
    <r>
      <rPr>
        <sz val="11"/>
        <rFont val="Arial MT"/>
        <family val="2"/>
      </rPr>
      <t xml:space="preserve">35, 44, 32, 39, 36, 30, 33, 28, 41, 35,
</t>
    </r>
    <r>
      <rPr>
        <sz val="11"/>
        <rFont val="Arial MT"/>
        <family val="2"/>
      </rPr>
      <t xml:space="preserve">31, 37, 42, 29, 34, 40, 31, 33, 38, 36,
</t>
    </r>
    <r>
      <rPr>
        <sz val="11"/>
        <rFont val="Arial MT"/>
        <family val="2"/>
      </rPr>
      <t xml:space="preserve">39, 27, 35, 30, 43, 29, 32, 36, 31, 40,
</t>
    </r>
    <r>
      <rPr>
        <sz val="11"/>
        <rFont val="Arial MT"/>
        <family val="2"/>
      </rPr>
      <t xml:space="preserve">38, 44, 37, 33, 35, 41, 30, 31, 39, 28,
</t>
    </r>
    <r>
      <rPr>
        <sz val="11"/>
        <rFont val="Arial MT"/>
        <family val="2"/>
      </rPr>
      <t xml:space="preserve">45, 29, 33, 38, 34, 32, 35, 31, 40, 36,
</t>
    </r>
    <r>
      <rPr>
        <sz val="11"/>
        <rFont val="Arial MT"/>
        <family val="2"/>
      </rPr>
      <t xml:space="preserve">39, 27, 35, 30, 43, 29, 32, 36, 31, 40,
</t>
    </r>
    <r>
      <rPr>
        <sz val="11"/>
        <rFont val="Arial MT"/>
        <family val="2"/>
      </rPr>
      <t>38, 44, 37, 33, 35, 41, 30, 31, 39, 28</t>
    </r>
  </si>
  <si>
    <r>
      <rPr>
        <sz val="11"/>
        <rFont val="Arial MT"/>
        <family val="2"/>
      </rPr>
      <t xml:space="preserve">Questions:
</t>
    </r>
    <r>
      <rPr>
        <sz val="11"/>
        <rFont val="Arial MT"/>
        <family val="2"/>
      </rPr>
      <t xml:space="preserve">1. Frequency Distribution: Create a frequency distribution table for the ages of the employees.
</t>
    </r>
    <r>
      <rPr>
        <sz val="11"/>
        <rFont val="Arial MT"/>
        <family val="2"/>
      </rPr>
      <t xml:space="preserve">2. Mode: What is the mode (most common age) among the employees?
</t>
    </r>
    <r>
      <rPr>
        <sz val="11"/>
        <rFont val="Arial MT"/>
        <family val="2"/>
      </rPr>
      <t xml:space="preserve">3. Median: What is the median age of the employees?
</t>
    </r>
    <r>
      <rPr>
        <sz val="11"/>
        <rFont val="Arial MT"/>
        <family val="2"/>
      </rPr>
      <t>4. Range: What is the range of ages among the employees?</t>
    </r>
  </si>
  <si>
    <r>
      <rPr>
        <sz val="11"/>
        <rFont val="Arial MT"/>
        <family val="2"/>
      </rPr>
      <t>By answering these questions using frequency distribution and other measures, the company can gain insights into the age distribution of its workforce, identify the most common age group, understand the central tendency, and assess the spread of ages. This information can be useful for workforce planning, diversity initiatives, and understanding the generational dynamics within the organization.</t>
    </r>
  </si>
  <si>
    <r>
      <rPr>
        <b/>
        <i/>
        <sz val="11"/>
        <rFont val="Arial"/>
        <family val="2"/>
      </rPr>
      <t xml:space="preserve">9)   Problem :A retail store wants to analyze the purchase amounts made by
</t>
    </r>
    <r>
      <rPr>
        <b/>
        <i/>
        <sz val="11"/>
        <rFont val="Arial"/>
        <family val="2"/>
      </rPr>
      <t>customers to understand their spending habits.</t>
    </r>
  </si>
  <si>
    <r>
      <rPr>
        <sz val="11"/>
        <rFont val="Arial MT"/>
        <family val="2"/>
      </rPr>
      <t xml:space="preserve">Data:
</t>
    </r>
    <r>
      <rPr>
        <sz val="11"/>
        <rFont val="Arial MT"/>
        <family val="2"/>
      </rPr>
      <t>Let's consider the purchase amounts (in dollars) for a sample of 50 customers:</t>
    </r>
  </si>
  <si>
    <r>
      <rPr>
        <sz val="11"/>
        <rFont val="Arial MT"/>
        <family val="2"/>
      </rPr>
      <t xml:space="preserve">56, 40, 28, 73, 52, 61, 35, 40, 47, 65,
</t>
    </r>
    <r>
      <rPr>
        <sz val="11"/>
        <rFont val="Arial MT"/>
        <family val="2"/>
      </rPr>
      <t xml:space="preserve">52, 44, 38, 60, 56, 40, 36, 49, 68, 57,
</t>
    </r>
    <r>
      <rPr>
        <sz val="11"/>
        <rFont val="Arial MT"/>
        <family val="2"/>
      </rPr>
      <t xml:space="preserve">52, 63, 41, 48, 55, 42, 39, 58, 62, 49,
</t>
    </r>
    <r>
      <rPr>
        <sz val="11"/>
        <rFont val="Arial MT"/>
        <family val="2"/>
      </rPr>
      <t xml:space="preserve">59, 45, 47, 51, 65, 41, 48, 55, 42, 39,
</t>
    </r>
    <r>
      <rPr>
        <sz val="11"/>
        <rFont val="Arial MT"/>
        <family val="2"/>
      </rPr>
      <t>58, 62, 49, 59, 45, 47, 51, 65, 43, 58</t>
    </r>
  </si>
  <si>
    <r>
      <rPr>
        <sz val="11"/>
        <rFont val="Arial MT"/>
        <family val="2"/>
      </rPr>
      <t xml:space="preserve">Questions:
</t>
    </r>
    <r>
      <rPr>
        <sz val="11"/>
        <rFont val="Arial MT"/>
        <family val="2"/>
      </rPr>
      <t xml:space="preserve">1. Frequency Distribution: Create a frequency distribution table for the purchase amounts.
</t>
    </r>
    <r>
      <rPr>
        <sz val="11"/>
        <rFont val="Arial MT"/>
        <family val="2"/>
      </rPr>
      <t xml:space="preserve">2. Mode: What is the mode (most common purchase amount) among the customers?
</t>
    </r>
    <r>
      <rPr>
        <sz val="11"/>
        <rFont val="Arial MT"/>
        <family val="2"/>
      </rPr>
      <t xml:space="preserve">3. Median: What is the median purchase amount among the customers?
</t>
    </r>
    <r>
      <rPr>
        <sz val="11"/>
        <rFont val="Arial MT"/>
        <family val="2"/>
      </rPr>
      <t>4. Interquartile Range: What is the interquartile range of the purchase amounts?</t>
    </r>
  </si>
  <si>
    <r>
      <rPr>
        <sz val="11"/>
        <rFont val="Arial MT"/>
        <family val="2"/>
      </rPr>
      <t>By answering these questions using frequency distribution and other measures, the retail store can gain insights into the spending habits of its customers, identify the most common purchase amount</t>
    </r>
  </si>
  <si>
    <r>
      <rPr>
        <b/>
        <i/>
        <sz val="11"/>
        <rFont val="Arial"/>
        <family val="2"/>
      </rPr>
      <t xml:space="preserve">10) Problem : A manufacturing company wants to analyze the defect rates of its
</t>
    </r>
    <r>
      <rPr>
        <b/>
        <i/>
        <sz val="11"/>
        <rFont val="Arial"/>
        <family val="2"/>
      </rPr>
      <t>production line to identify the frequency of different types of defects.</t>
    </r>
  </si>
  <si>
    <r>
      <rPr>
        <sz val="11"/>
        <rFont val="Arial MT"/>
        <family val="2"/>
      </rPr>
      <t xml:space="preserve">Data:
</t>
    </r>
    <r>
      <rPr>
        <sz val="11"/>
        <rFont val="Arial MT"/>
        <family val="2"/>
      </rPr>
      <t>Let's consider the types of defects and their corresponding frequencies observed in a sample of 200 products:</t>
    </r>
  </si>
  <si>
    <r>
      <rPr>
        <sz val="11"/>
        <rFont val="Arial MT"/>
        <family val="2"/>
      </rPr>
      <t xml:space="preserve">Defect Type: A, B, C, D, E, F, G
</t>
    </r>
    <r>
      <rPr>
        <sz val="11"/>
        <rFont val="Arial MT"/>
        <family val="2"/>
      </rPr>
      <t>Frequency: 30, 40, 20, 10, 45, 25, 30</t>
    </r>
  </si>
  <si>
    <r>
      <rPr>
        <sz val="11"/>
        <rFont val="Arial MT"/>
        <family val="2"/>
      </rPr>
      <t xml:space="preserve">Questions:
</t>
    </r>
    <r>
      <rPr>
        <sz val="11"/>
        <rFont val="Arial MT"/>
        <family val="2"/>
      </rPr>
      <t xml:space="preserve">1. Bar Chart: Create a bar chart to visualize the frequency of different defect types.
</t>
    </r>
    <r>
      <rPr>
        <sz val="11"/>
        <rFont val="Arial MT"/>
        <family val="2"/>
      </rPr>
      <t xml:space="preserve">2. Most Common Defect: Which defect type has the highest frequency?
</t>
    </r>
    <r>
      <rPr>
        <sz val="11"/>
        <rFont val="Arial MT"/>
        <family val="2"/>
      </rPr>
      <t>3. Histogram: Create a histogram to represent the defect frequencies.</t>
    </r>
  </si>
  <si>
    <r>
      <rPr>
        <sz val="11"/>
        <rFont val="Arial MT"/>
        <family val="2"/>
      </rPr>
      <t>By answering these questions using a bar chart and histogram, the manufacturing company can visually understand the distribution of defect types, identify the most common defect, and prioritize quality control efforts to address the prevalent issues.</t>
    </r>
  </si>
  <si>
    <r>
      <rPr>
        <b/>
        <i/>
        <sz val="11"/>
        <rFont val="Arial"/>
        <family val="2"/>
      </rPr>
      <t xml:space="preserve">11) Problem : A survey was conducted to gather feedback from customers about their
</t>
    </r>
    <r>
      <rPr>
        <b/>
        <i/>
        <sz val="11"/>
        <rFont val="Arial"/>
        <family val="2"/>
      </rPr>
      <t>satisfaction levels with a specific service on a scale of 1 to 5.</t>
    </r>
  </si>
  <si>
    <r>
      <rPr>
        <sz val="11"/>
        <rFont val="Arial MT"/>
        <family val="2"/>
      </rPr>
      <t xml:space="preserve">Data:
</t>
    </r>
    <r>
      <rPr>
        <sz val="11"/>
        <rFont val="Arial MT"/>
        <family val="2"/>
      </rPr>
      <t>Let's consider the satisfaction ratings from 100 customers:</t>
    </r>
  </si>
  <si>
    <r>
      <rPr>
        <sz val="11"/>
        <rFont val="Arial MT"/>
        <family val="2"/>
      </rPr>
      <t xml:space="preserve">Ratings: 4, 5, 3, 4, 4, 3, 2, 5, 4, 3,
</t>
    </r>
    <r>
      <rPr>
        <sz val="11"/>
        <rFont val="Arial MT"/>
        <family val="2"/>
      </rPr>
      <t xml:space="preserve">5, 4, 2, 3, 4, 5, 3, 4, 5, 3,
</t>
    </r>
    <r>
      <rPr>
        <sz val="11"/>
        <rFont val="Arial MT"/>
        <family val="2"/>
      </rPr>
      <t xml:space="preserve">4, 3, 2, 4, 5, 3, 4, 5, 4, 3,
</t>
    </r>
    <r>
      <rPr>
        <sz val="11"/>
        <rFont val="Arial MT"/>
        <family val="2"/>
      </rPr>
      <t xml:space="preserve">3, 4, 5, 2, 3, 4, 4, 3, 5, 4,
</t>
    </r>
    <r>
      <rPr>
        <sz val="11"/>
        <rFont val="Arial MT"/>
        <family val="2"/>
      </rPr>
      <t xml:space="preserve">3, 4, 5, 4, 2, 3, 4, 5, 3, 4,
</t>
    </r>
    <r>
      <rPr>
        <sz val="11"/>
        <rFont val="Arial MT"/>
        <family val="2"/>
      </rPr>
      <t xml:space="preserve">5, 4, 3, 4, 5, 3, 4, 5, 4, 3,
</t>
    </r>
    <r>
      <rPr>
        <sz val="11"/>
        <rFont val="Arial MT"/>
        <family val="2"/>
      </rPr>
      <t xml:space="preserve">3, 4, 5, 2, 3, 4, 4, 3, 5, 4,
</t>
    </r>
    <r>
      <rPr>
        <sz val="11"/>
        <rFont val="Arial MT"/>
        <family val="2"/>
      </rPr>
      <t xml:space="preserve">3, 4, 5, 4, 2, 3, 4, 5, 3, 4,
</t>
    </r>
    <r>
      <rPr>
        <sz val="11"/>
        <rFont val="Arial MT"/>
        <family val="2"/>
      </rPr>
      <t xml:space="preserve">5, 4, 3, 4, 5, 3, 4, 5, 4, 3,
</t>
    </r>
    <r>
      <rPr>
        <sz val="11"/>
        <rFont val="Arial MT"/>
        <family val="2"/>
      </rPr>
      <t>3, 4, 5, 2, 3, 4, 4, 3, 5, 4</t>
    </r>
  </si>
  <si>
    <r>
      <rPr>
        <sz val="11"/>
        <rFont val="Arial MT"/>
        <family val="2"/>
      </rPr>
      <t xml:space="preserve">Questions:
</t>
    </r>
    <r>
      <rPr>
        <sz val="11"/>
        <rFont val="Arial MT"/>
        <family val="2"/>
      </rPr>
      <t xml:space="preserve">1. Histogram: Create a histogram to visualize the distribution of satisfaction ratings.
</t>
    </r>
    <r>
      <rPr>
        <sz val="11"/>
        <rFont val="Arial MT"/>
        <family val="2"/>
      </rPr>
      <t xml:space="preserve">2. Mode: Which satisfaction rating has the highest frequency?
</t>
    </r>
    <r>
      <rPr>
        <sz val="11"/>
        <rFont val="Arial MT"/>
        <family val="2"/>
      </rPr>
      <t>3. Bar Chart: Create a bar chart to display the frequency of each satisfaction rating.</t>
    </r>
  </si>
  <si>
    <r>
      <rPr>
        <sz val="11"/>
        <rFont val="Arial MT"/>
        <family val="2"/>
      </rPr>
      <t>By answering these questions using a histogram and bar chart, the organization can gain insights into the distribution of satisfaction ratings, identify the most common satisfaction level, and assess overall customer satisfaction.</t>
    </r>
  </si>
  <si>
    <r>
      <rPr>
        <b/>
        <i/>
        <sz val="11"/>
        <rFont val="Arial"/>
        <family val="2"/>
      </rPr>
      <t xml:space="preserve">12) Problem : A company wants to analyze the monthly sales figures of its products to
</t>
    </r>
    <r>
      <rPr>
        <b/>
        <i/>
        <sz val="11"/>
        <rFont val="Arial"/>
        <family val="2"/>
      </rPr>
      <t>understand the sales distribution across different price ranges.</t>
    </r>
  </si>
  <si>
    <r>
      <rPr>
        <sz val="11"/>
        <rFont val="Arial MT"/>
        <family val="2"/>
      </rPr>
      <t xml:space="preserve">Data:
</t>
    </r>
    <r>
      <rPr>
        <sz val="11"/>
        <rFont val="Arial MT"/>
        <family val="2"/>
      </rPr>
      <t>Let's consider the monthly sales figures (in thousands of dollars) for a sample of 50 products:</t>
    </r>
  </si>
  <si>
    <r>
      <rPr>
        <sz val="11"/>
        <rFont val="Arial MT"/>
        <family val="2"/>
      </rPr>
      <t xml:space="preserve">Sales: 35, 28, 32, 45, 38, 29, 42, 30, 36, 41,
</t>
    </r>
    <r>
      <rPr>
        <sz val="11"/>
        <rFont val="Arial MT"/>
        <family val="2"/>
      </rPr>
      <t xml:space="preserve">47, 31, 39, 43, 37, 30, 34, 39, 28, 33,
</t>
    </r>
    <r>
      <rPr>
        <sz val="11"/>
        <rFont val="Arial MT"/>
        <family val="2"/>
      </rPr>
      <t xml:space="preserve">36, 40, 42, 29, 31, 45, 38, 33, 41, 35,
</t>
    </r>
    <r>
      <rPr>
        <sz val="11"/>
        <rFont val="Arial MT"/>
        <family val="2"/>
      </rPr>
      <t>37,</t>
    </r>
  </si>
  <si>
    <r>
      <rPr>
        <sz val="11"/>
        <rFont val="Arial MT"/>
        <family val="2"/>
      </rPr>
      <t xml:space="preserve">34, 46, 30, 39, 43, 28, 32, 36, 29,
</t>
    </r>
    <r>
      <rPr>
        <sz val="11"/>
        <rFont val="Arial MT"/>
        <family val="2"/>
      </rPr>
      <t>31, 37, 40, 42, 33, 39, 28, 35, 38, 43</t>
    </r>
  </si>
  <si>
    <r>
      <rPr>
        <sz val="11"/>
        <rFont val="Arial MT"/>
        <family val="2"/>
      </rPr>
      <t xml:space="preserve">Questions:
</t>
    </r>
    <r>
      <rPr>
        <sz val="11"/>
        <rFont val="Arial MT"/>
        <family val="2"/>
      </rPr>
      <t xml:space="preserve">1. Histogram: Create a histogram to visualize the sales distribution across different price ranges.
</t>
    </r>
    <r>
      <rPr>
        <sz val="11"/>
        <rFont val="Arial MT"/>
        <family val="2"/>
      </rPr>
      <t xml:space="preserve">2. Measure of Central Tendency: What is the average monthly sales figure?
</t>
    </r>
    <r>
      <rPr>
        <sz val="11"/>
        <rFont val="Arial MT"/>
        <family val="2"/>
      </rPr>
      <t>3. Bar Chart: Create a bar chart to display the frequency of sales in different price ranges.</t>
    </r>
  </si>
  <si>
    <r>
      <rPr>
        <sz val="11"/>
        <rFont val="Arial MT"/>
        <family val="2"/>
      </rPr>
      <t>By answering these questions using a histogram and bar chart, the company can understand the distribution of sales figures, determine the average sales performance, and identify the price ranges where sales are concentrated or lacking.</t>
    </r>
  </si>
  <si>
    <r>
      <rPr>
        <b/>
        <i/>
        <sz val="11"/>
        <rFont val="Arial"/>
        <family val="2"/>
      </rPr>
      <t xml:space="preserve">13) Problem : A study was conducted to analyze the response times of a website for
</t>
    </r>
    <r>
      <rPr>
        <b/>
        <i/>
        <sz val="11"/>
        <rFont val="Arial"/>
        <family val="2"/>
      </rPr>
      <t>different user locations.</t>
    </r>
  </si>
  <si>
    <r>
      <rPr>
        <sz val="11"/>
        <rFont val="Arial MT"/>
        <family val="2"/>
      </rPr>
      <t xml:space="preserve">Data:
</t>
    </r>
    <r>
      <rPr>
        <sz val="11"/>
        <rFont val="Arial MT"/>
        <family val="2"/>
      </rPr>
      <t>Let's consider the response times (in milliseconds) for a sample of 200 user requests:</t>
    </r>
  </si>
  <si>
    <r>
      <rPr>
        <sz val="11"/>
        <rFont val="Arial MT"/>
        <family val="2"/>
      </rPr>
      <t xml:space="preserve">Questions:
</t>
    </r>
    <r>
      <rPr>
        <sz val="11"/>
        <rFont val="Arial MT"/>
        <family val="2"/>
      </rPr>
      <t xml:space="preserve">1. Histogram: Create a histogram to visualize the distribution of response times.
</t>
    </r>
    <r>
      <rPr>
        <sz val="11"/>
        <rFont val="Arial MT"/>
        <family val="2"/>
      </rPr>
      <t xml:space="preserve">2. Measure of Central Tendency: What is the median response time?
</t>
    </r>
    <r>
      <rPr>
        <sz val="11"/>
        <rFont val="Arial MT"/>
        <family val="2"/>
      </rPr>
      <t>3. Bar Chart: Create a bar chart to display the frequency of response times within different ranges.</t>
    </r>
  </si>
  <si>
    <r>
      <rPr>
        <sz val="11"/>
        <rFont val="Arial MT"/>
        <family val="2"/>
      </rPr>
      <t>By answering these questions using a histogram and bar chart, the study can gain insights into the distribution of response times, understand the typical response time experienced by users, and assess the performance of the website.</t>
    </r>
  </si>
  <si>
    <r>
      <rPr>
        <b/>
        <i/>
        <sz val="11"/>
        <rFont val="Arial"/>
        <family val="2"/>
      </rPr>
      <t xml:space="preserve">14) Problem : A company wants to analyze the sales performance of its products
</t>
    </r>
    <r>
      <rPr>
        <b/>
        <i/>
        <sz val="11"/>
        <rFont val="Arial"/>
        <family val="2"/>
      </rPr>
      <t>across different regions.</t>
    </r>
  </si>
  <si>
    <r>
      <rPr>
        <sz val="11"/>
        <rFont val="Arial MT"/>
        <family val="2"/>
      </rPr>
      <t xml:space="preserve">Data:
</t>
    </r>
    <r>
      <rPr>
        <sz val="11"/>
        <rFont val="Arial MT"/>
        <family val="2"/>
      </rPr>
      <t>Let's consider the sales figures (in thousands of dollars) for a sample of 50 products in three regions:</t>
    </r>
  </si>
  <si>
    <r>
      <rPr>
        <sz val="11"/>
        <rFont val="Arial MT"/>
        <family val="2"/>
      </rPr>
      <t xml:space="preserve">Region 1: 45, 35, 40, 38, 42, 37, 39, 43, 44, 41,
</t>
    </r>
    <r>
      <rPr>
        <sz val="11"/>
        <rFont val="Arial MT"/>
        <family val="2"/>
      </rPr>
      <t xml:space="preserve">Region 2: 32, 28, 30, 34, 33, 35, 31, 29, 36, 37,
</t>
    </r>
    <r>
      <rPr>
        <sz val="11"/>
        <rFont val="Arial MT"/>
        <family val="2"/>
      </rPr>
      <t>Region 3: 40, 39, 42, 41, 38, 43, 45, 44, 41, 37</t>
    </r>
  </si>
  <si>
    <r>
      <rPr>
        <sz val="11"/>
        <rFont val="Arial MT"/>
        <family val="2"/>
      </rPr>
      <t>Questions:</t>
    </r>
  </si>
  <si>
    <r>
      <rPr>
        <sz val="11"/>
        <rFont val="Arial MT"/>
        <family val="2"/>
      </rPr>
      <t xml:space="preserve">1. Bar Chart: Create a bar chart to compare the sales figures across the three regions.
</t>
    </r>
    <r>
      <rPr>
        <sz val="11"/>
        <rFont val="Arial MT"/>
        <family val="2"/>
      </rPr>
      <t xml:space="preserve">2. Measure of Central Tendency: What is the average sales figure for each region?
</t>
    </r>
    <r>
      <rPr>
        <sz val="11"/>
        <rFont val="Arial MT"/>
        <family val="2"/>
      </rPr>
      <t>3. Measure of Dispersion</t>
    </r>
  </si>
  <si>
    <r>
      <rPr>
        <sz val="11"/>
        <rFont val="Arial MT"/>
        <family val="2"/>
      </rPr>
      <t>: What is the range of sales figures in each region?</t>
    </r>
  </si>
  <si>
    <r>
      <rPr>
        <sz val="11"/>
        <rFont val="Arial MT"/>
        <family val="2"/>
      </rPr>
      <t>By answering these questions using a bar chart and measures of central tendency and dispersion, the company can compare the sales performance across different regions, identify the average sales figures, and understand the variability in sales within each region. This information can be used for regional sales analysis, resource allocation, and decision-making processes.</t>
    </r>
  </si>
  <si>
    <r>
      <rPr>
        <b/>
        <sz val="13"/>
        <rFont val="Arial"/>
        <family val="2"/>
      </rPr>
      <t>Questions on Measure of Skewness and Kurtosis</t>
    </r>
  </si>
  <si>
    <r>
      <rPr>
        <b/>
        <i/>
        <sz val="11"/>
        <rFont val="Arial"/>
        <family val="2"/>
      </rPr>
      <t xml:space="preserve">1)   Question : A company wants to analyze the monthly returns of its investment
</t>
    </r>
    <r>
      <rPr>
        <b/>
        <i/>
        <sz val="11"/>
        <rFont val="Arial"/>
        <family val="2"/>
      </rPr>
      <t>portfolio to understand the distribution and risk associated with the returns.</t>
    </r>
  </si>
  <si>
    <r>
      <rPr>
        <sz val="11"/>
        <rFont val="Arial MT"/>
        <family val="2"/>
      </rPr>
      <t xml:space="preserve">Data:
</t>
    </r>
    <r>
      <rPr>
        <sz val="11"/>
        <rFont val="Arial MT"/>
        <family val="2"/>
      </rPr>
      <t>Let's consider the monthly returns (%) for the portfolio over a one-year period:</t>
    </r>
  </si>
  <si>
    <r>
      <rPr>
        <sz val="11"/>
        <rFont val="Arial MT"/>
        <family val="2"/>
      </rPr>
      <t xml:space="preserve">Returns: -2.5, 1.3, -0.8, -1.9, 2.1, 0.5, -1.2, 1.8, -0.5, 2.3,
</t>
    </r>
    <r>
      <rPr>
        <sz val="11"/>
        <rFont val="Arial MT"/>
        <family val="2"/>
      </rPr>
      <t xml:space="preserve">-0.7, 1.2, -1.5, -0.3, 2.6, 1.1, -1.7, 0.9, -1.4, 0.3,
</t>
    </r>
    <r>
      <rPr>
        <sz val="11"/>
        <rFont val="Arial MT"/>
        <family val="2"/>
      </rPr>
      <t xml:space="preserve">1.9, -1.1, -0.4, 2.2, -0.9, 1.6, -0.6, -1.3, 2.4, 0.7,
</t>
    </r>
    <r>
      <rPr>
        <sz val="11"/>
        <rFont val="Arial MT"/>
        <family val="2"/>
      </rPr>
      <t xml:space="preserve">-1.8, 1.5, -0.2, -2.1, 2.8, 0.8, -1.6, 1.4, -0.1, 2.5,
</t>
    </r>
    <r>
      <rPr>
        <sz val="11"/>
        <rFont val="Arial MT"/>
        <family val="2"/>
      </rPr>
      <t>-1.0, 1.7, -0.9, -2.0, 2.7, 0.6, -1.4, 1.1, -0.3, 2.0</t>
    </r>
  </si>
  <si>
    <r>
      <rPr>
        <sz val="11"/>
        <rFont val="Arial MT"/>
        <family val="2"/>
      </rPr>
      <t xml:space="preserve">Questions:
</t>
    </r>
    <r>
      <rPr>
        <sz val="11"/>
        <rFont val="Arial MT"/>
        <family val="2"/>
      </rPr>
      <t xml:space="preserve">1. Skewness: Calculate the skewness of the monthly returns.
</t>
    </r>
    <r>
      <rPr>
        <sz val="11"/>
        <rFont val="Arial MT"/>
        <family val="2"/>
      </rPr>
      <t xml:space="preserve">2. Kurtosis: Calculate the kurtosis of the monthly returns.
</t>
    </r>
    <r>
      <rPr>
        <sz val="11"/>
        <rFont val="Arial MT"/>
        <family val="2"/>
      </rPr>
      <t>3. Interpretation: Based on the skewness and kurtosis values, what can be said about the distribution of returns?</t>
    </r>
  </si>
  <si>
    <r>
      <rPr>
        <sz val="11"/>
        <rFont val="Arial MT"/>
        <family val="2"/>
      </rPr>
      <t>By answering these questions using measures of skewness and kurtosis, the company can understand the shape and symmetry of the return distribution, assess the level of risk and potential outliers, and make informed decisions regarding portfolio management and risk mitigation strategies.</t>
    </r>
  </si>
  <si>
    <r>
      <rPr>
        <b/>
        <i/>
        <sz val="11"/>
        <rFont val="Arial"/>
        <family val="2"/>
      </rPr>
      <t xml:space="preserve">2)   Question : A research study wants to analyze the income distribution of a
</t>
    </r>
    <r>
      <rPr>
        <b/>
        <i/>
        <sz val="11"/>
        <rFont val="Arial"/>
        <family val="2"/>
      </rPr>
      <t>population to understand the level of income inequality.</t>
    </r>
  </si>
  <si>
    <r>
      <rPr>
        <sz val="11"/>
        <rFont val="Arial MT"/>
        <family val="2"/>
      </rPr>
      <t xml:space="preserve">Data:
</t>
    </r>
    <r>
      <rPr>
        <sz val="11"/>
        <rFont val="Arial MT"/>
        <family val="2"/>
      </rPr>
      <t>Let's consider the monthly incomes (in thousands of dollars) of a sample of 100 individuals:</t>
    </r>
  </si>
  <si>
    <r>
      <rPr>
        <sz val="11"/>
        <rFont val="Arial MT"/>
        <family val="2"/>
      </rPr>
      <t xml:space="preserve">Questions:
</t>
    </r>
    <r>
      <rPr>
        <sz val="11"/>
        <rFont val="Arial MT"/>
        <family val="2"/>
      </rPr>
      <t xml:space="preserve">1. Skewness: Calculate the skewness of the income distribution.
</t>
    </r>
    <r>
      <rPr>
        <sz val="11"/>
        <rFont val="Arial MT"/>
        <family val="2"/>
      </rPr>
      <t xml:space="preserve">2. Kurtosis: Calculate the kurtosis of the income distribution.
</t>
    </r>
    <r>
      <rPr>
        <sz val="11"/>
        <rFont val="Arial MT"/>
        <family val="2"/>
      </rPr>
      <t>3. Interpretation: Based on the skewness and kurtosis values, what can be inferred about the income inequality?</t>
    </r>
  </si>
  <si>
    <r>
      <rPr>
        <sz val="11"/>
        <rFont val="Arial MT"/>
        <family val="2"/>
      </rPr>
      <t>By answering these questions using measures of skewness and kurtosis, the research study can assess the level of income inequality, determine the shape of the income distribution, and make informed policy recommendations to address income disparities.</t>
    </r>
  </si>
  <si>
    <r>
      <rPr>
        <b/>
        <i/>
        <sz val="11"/>
        <rFont val="Arial"/>
        <family val="2"/>
      </rPr>
      <t xml:space="preserve">3)   Question : A survey was conducted to analyze the satisfaction ratings of
</t>
    </r>
    <r>
      <rPr>
        <b/>
        <i/>
        <sz val="11"/>
        <rFont val="Arial"/>
        <family val="2"/>
      </rPr>
      <t>customers on a scale of 1 to 5 for a specific product.</t>
    </r>
  </si>
  <si>
    <r>
      <rPr>
        <sz val="11"/>
        <rFont val="Arial MT"/>
        <family val="2"/>
      </rPr>
      <t xml:space="preserve">Data:
</t>
    </r>
    <r>
      <rPr>
        <sz val="11"/>
        <rFont val="Arial MT"/>
        <family val="2"/>
      </rPr>
      <t>Let's consider the satisfaction ratings from 200 customers:</t>
    </r>
  </si>
  <si>
    <r>
      <rPr>
        <sz val="11"/>
        <rFont val="Arial MT"/>
        <family val="2"/>
      </rPr>
      <t xml:space="preserve">Questions:
</t>
    </r>
    <r>
      <rPr>
        <sz val="11"/>
        <rFont val="Arial MT"/>
        <family val="2"/>
      </rPr>
      <t xml:space="preserve">1. Skewness: Calculate the skewness of the satisfaction ratings.
</t>
    </r>
    <r>
      <rPr>
        <sz val="11"/>
        <rFont val="Arial MT"/>
        <family val="2"/>
      </rPr>
      <t>2. Kurtosis: Calculate the kurtosis of the satisfaction ratings.</t>
    </r>
  </si>
  <si>
    <r>
      <rPr>
        <sz val="11"/>
        <rFont val="Arial MT"/>
        <family val="2"/>
      </rPr>
      <t xml:space="preserve">3. Interpretation: Based on the skewness and kurtosis values, what can be inferred
</t>
    </r>
    <r>
      <rPr>
        <sz val="11"/>
        <rFont val="Arial MT"/>
        <family val="2"/>
      </rPr>
      <t>about the satisfaction ratings distribution?</t>
    </r>
  </si>
  <si>
    <r>
      <rPr>
        <sz val="11"/>
        <rFont val="Arial MT"/>
        <family val="2"/>
      </rPr>
      <t>By answering these questions using measures of skewness and kurtosis, the survey can assess the skewness and peakedness of the satisfaction ratings, determine if the ratings are skewed towards positive or negative evaluations, and understand the distribution characteristics of customer satisfaction.</t>
    </r>
  </si>
  <si>
    <r>
      <rPr>
        <b/>
        <i/>
        <sz val="11"/>
        <rFont val="Arial"/>
        <family val="2"/>
      </rPr>
      <t xml:space="preserve">4)   Question : A study wants to analyze the distribution of house prices in a specific
</t>
    </r>
    <r>
      <rPr>
        <b/>
        <i/>
        <sz val="11"/>
        <rFont val="Arial"/>
        <family val="2"/>
      </rPr>
      <t>city to understand the market trends.</t>
    </r>
  </si>
  <si>
    <r>
      <rPr>
        <sz val="11"/>
        <rFont val="Arial MT"/>
        <family val="2"/>
      </rPr>
      <t xml:space="preserve">Data:
</t>
    </r>
    <r>
      <rPr>
        <sz val="11"/>
        <rFont val="Arial MT"/>
        <family val="2"/>
      </rPr>
      <t>Let's consider the house prices (in thousands of dollars) for</t>
    </r>
  </si>
  <si>
    <r>
      <rPr>
        <sz val="11"/>
        <rFont val="Arial MT"/>
        <family val="2"/>
      </rPr>
      <t>a sample of 150 houses:</t>
    </r>
  </si>
  <si>
    <r>
      <rPr>
        <sz val="11"/>
        <rFont val="Arial MT"/>
        <family val="2"/>
      </rPr>
      <t xml:space="preserve">House Prices: 280, 350, 310, 270, 390, 320, 290, 340, 310, 380,
</t>
    </r>
    <r>
      <rPr>
        <sz val="11"/>
        <rFont val="Arial MT"/>
        <family val="2"/>
      </rPr>
      <t xml:space="preserve">270, 350, 300, 330, 370, 310, 280, 320, 350, 290,
</t>
    </r>
    <r>
      <rPr>
        <sz val="11"/>
        <rFont val="Arial MT"/>
        <family val="2"/>
      </rPr>
      <t xml:space="preserve">270, 350, 300, 330, 370, 310, 280, 320, 350, 290,
</t>
    </r>
    <r>
      <rPr>
        <sz val="11"/>
        <rFont val="Arial MT"/>
        <family val="2"/>
      </rPr>
      <t xml:space="preserve">270, 350, 300, 330, 370, 310, 280, 320, 350, 290,
</t>
    </r>
    <r>
      <rPr>
        <sz val="11"/>
        <rFont val="Arial MT"/>
        <family val="2"/>
      </rPr>
      <t xml:space="preserve">270, 350, 300, 330, 370, 310, 280, 320, 350, 290,
</t>
    </r>
    <r>
      <rPr>
        <sz val="11"/>
        <rFont val="Arial MT"/>
        <family val="2"/>
      </rPr>
      <t xml:space="preserve">270, 350, 300, 330, 370, 310, 280, 320, 350, 290,
</t>
    </r>
    <r>
      <rPr>
        <sz val="11"/>
        <rFont val="Arial MT"/>
        <family val="2"/>
      </rPr>
      <t xml:space="preserve">270, 350, 300, 330, 370, 310, 280, 320, 350, 290,
</t>
    </r>
    <r>
      <rPr>
        <sz val="11"/>
        <rFont val="Arial MT"/>
        <family val="2"/>
      </rPr>
      <t xml:space="preserve">270, 350, 300, 330, 370, 310, 280, 320, 350, 290,
</t>
    </r>
    <r>
      <rPr>
        <sz val="11"/>
        <rFont val="Arial MT"/>
        <family val="2"/>
      </rPr>
      <t xml:space="preserve">270, 350, 300, 330, 370, 310, 280, 320, 350, 290,
</t>
    </r>
    <r>
      <rPr>
        <sz val="11"/>
        <rFont val="Arial MT"/>
        <family val="2"/>
      </rPr>
      <t>270, 350, 300, 330, 370, 310, 280, 320, 350, 290</t>
    </r>
  </si>
  <si>
    <r>
      <rPr>
        <sz val="11"/>
        <rFont val="Arial MT"/>
        <family val="2"/>
      </rPr>
      <t xml:space="preserve">Questions:
</t>
    </r>
    <r>
      <rPr>
        <sz val="11"/>
        <rFont val="Arial MT"/>
        <family val="2"/>
      </rPr>
      <t xml:space="preserve">1. Skewness: Calculate the skewness of the house price distribution.
</t>
    </r>
    <r>
      <rPr>
        <sz val="11"/>
        <rFont val="Arial MT"/>
        <family val="2"/>
      </rPr>
      <t xml:space="preserve">2. Kurtosis: Calculate the kurtosis of the house price distribution.
</t>
    </r>
    <r>
      <rPr>
        <sz val="11"/>
        <rFont val="Arial MT"/>
        <family val="2"/>
      </rPr>
      <t>3. Interpretation: Based on the skewness and kurtosis values, what can be inferred about the distribution of house prices?</t>
    </r>
  </si>
  <si>
    <r>
      <rPr>
        <sz val="11"/>
        <rFont val="Arial MT"/>
        <family val="2"/>
      </rPr>
      <t>By answering these questions using measures of skewness and kurtosis, the study can assess the symmetry and peakedness of the house price distribution, identify any outliers or extreme values, and gain insights into the market trends and pricing dynamics.</t>
    </r>
  </si>
  <si>
    <r>
      <rPr>
        <b/>
        <i/>
        <sz val="11"/>
        <rFont val="Arial"/>
        <family val="2"/>
      </rPr>
      <t xml:space="preserve">5)   Question : A company wants to analyze the waiting times of customers at a
</t>
    </r>
    <r>
      <rPr>
        <b/>
        <i/>
        <sz val="11"/>
        <rFont val="Arial"/>
        <family val="2"/>
      </rPr>
      <t>service center to improve operational efficiency.</t>
    </r>
  </si>
  <si>
    <r>
      <rPr>
        <sz val="11"/>
        <rFont val="Arial MT"/>
        <family val="2"/>
      </rPr>
      <t xml:space="preserve">Data:
</t>
    </r>
    <r>
      <rPr>
        <sz val="11"/>
        <rFont val="Arial MT"/>
        <family val="2"/>
      </rPr>
      <t>Let's consider the waiting times (in minutes) for a sample of 100 customers:</t>
    </r>
  </si>
  <si>
    <r>
      <rPr>
        <sz val="11"/>
        <rFont val="Arial MT"/>
        <family val="2"/>
      </rPr>
      <t xml:space="preserve">Waiting Times: 12, 18, 15, 22, 20, 14, 16, 21, 19, 17,
</t>
    </r>
    <r>
      <rPr>
        <sz val="11"/>
        <rFont val="Arial MT"/>
        <family val="2"/>
      </rPr>
      <t xml:space="preserve">22, 19, 13, 16, 21, 22, 17, 19, 22, 18,
</t>
    </r>
    <r>
      <rPr>
        <sz val="11"/>
        <rFont val="Arial MT"/>
        <family val="2"/>
      </rPr>
      <t xml:space="preserve">14, 20, 19, 17, 22, 18, 15, 21, 20, 16,
</t>
    </r>
    <r>
      <rPr>
        <sz val="11"/>
        <rFont val="Arial MT"/>
        <family val="2"/>
      </rPr>
      <t xml:space="preserve">12, 18, 15, 22, 20, 14, 16, 21, 19, 17,
</t>
    </r>
    <r>
      <rPr>
        <sz val="11"/>
        <rFont val="Arial MT"/>
        <family val="2"/>
      </rPr>
      <t xml:space="preserve">22, 19, 13, 16, 21, 22, 17, 19, 22, 18,
</t>
    </r>
    <r>
      <rPr>
        <sz val="11"/>
        <rFont val="Arial MT"/>
        <family val="2"/>
      </rPr>
      <t xml:space="preserve">14, 20, 19, 17, 22, 18, 15, 21, 20, 16,
</t>
    </r>
    <r>
      <rPr>
        <sz val="11"/>
        <rFont val="Arial MT"/>
        <family val="2"/>
      </rPr>
      <t xml:space="preserve">12, 18, 15, 22, 20, 14, 16, 21, 19, 17,
</t>
    </r>
    <r>
      <rPr>
        <sz val="11"/>
        <rFont val="Arial MT"/>
        <family val="2"/>
      </rPr>
      <t xml:space="preserve">22, 19, 13, 16, 21, 22, 17, 19, 22, 18,
</t>
    </r>
    <r>
      <rPr>
        <sz val="11"/>
        <rFont val="Arial MT"/>
        <family val="2"/>
      </rPr>
      <t xml:space="preserve">14, 20, 19, 17, 22, 18, 15, 21, 20, 16,
</t>
    </r>
    <r>
      <rPr>
        <sz val="11"/>
        <rFont val="Arial MT"/>
        <family val="2"/>
      </rPr>
      <t>12, 18, 15, 22, 20, 14, 16, 21, 19, 17</t>
    </r>
  </si>
  <si>
    <r>
      <rPr>
        <sz val="11"/>
        <rFont val="Arial MT"/>
        <family val="2"/>
      </rPr>
      <t xml:space="preserve">Questions:
</t>
    </r>
    <r>
      <rPr>
        <sz val="11"/>
        <rFont val="Arial MT"/>
        <family val="2"/>
      </rPr>
      <t xml:space="preserve">1. Skewness: Calculate the skewness of the waiting time distribution.
</t>
    </r>
    <r>
      <rPr>
        <sz val="11"/>
        <rFont val="Arial MT"/>
        <family val="2"/>
      </rPr>
      <t>2. Kurtosis</t>
    </r>
  </si>
  <si>
    <r>
      <rPr>
        <sz val="11"/>
        <rFont val="Arial MT"/>
        <family val="2"/>
      </rPr>
      <t xml:space="preserve">: Calculate the kurtosis of the waiting time distribution.
</t>
    </r>
    <r>
      <rPr>
        <sz val="11"/>
        <rFont val="Arial MT"/>
        <family val="2"/>
      </rPr>
      <t>3. Interpretation: Based on the skewness and kurtosis values, what can be inferred about the waiting time distribution?</t>
    </r>
  </si>
  <si>
    <r>
      <rPr>
        <sz val="11"/>
        <rFont val="Arial MT"/>
        <family val="2"/>
      </rPr>
      <t>By answering these questions using measures of skewness and kurtosis, the company can assess the symmetry and tail behavior of the waiting time distribution, identify any patterns or anomalies in customer waiting times, and make improvements to streamline the service process and enhance customer satisfaction.</t>
    </r>
  </si>
  <si>
    <r>
      <rPr>
        <b/>
        <sz val="13"/>
        <rFont val="Arial"/>
        <family val="2"/>
      </rPr>
      <t>Questions on Percentile and Quartiles</t>
    </r>
  </si>
  <si>
    <r>
      <rPr>
        <b/>
        <i/>
        <sz val="11"/>
        <rFont val="Arial"/>
        <family val="2"/>
      </rPr>
      <t xml:space="preserve">1)   Question : A company wants to analyze the salary distribution of its employees to
</t>
    </r>
    <r>
      <rPr>
        <b/>
        <i/>
        <sz val="11"/>
        <rFont val="Arial"/>
        <family val="2"/>
      </rPr>
      <t>determine the income levels at different percentiles.</t>
    </r>
  </si>
  <si>
    <r>
      <rPr>
        <sz val="11"/>
        <rFont val="Arial MT"/>
        <family val="2"/>
      </rPr>
      <t xml:space="preserve">Data:
</t>
    </r>
    <r>
      <rPr>
        <sz val="11"/>
        <rFont val="Arial MT"/>
        <family val="2"/>
      </rPr>
      <t>Let's consider the monthly salaries (in thousands of dollars) of a sample of 200 employees:</t>
    </r>
  </si>
  <si>
    <r>
      <rPr>
        <sz val="11"/>
        <rFont val="Arial MT"/>
        <family val="2"/>
      </rPr>
      <t xml:space="preserve">Salaries: 40, 45, 50, 55, 60, 62, 65, 68, 70, 72,
</t>
    </r>
    <r>
      <rPr>
        <sz val="11"/>
        <rFont val="Arial MT"/>
        <family val="2"/>
      </rPr>
      <t xml:space="preserve">75, 78, 80, 82, 85, 88, 90, 92, 95, 100,
</t>
    </r>
    <r>
      <rPr>
        <sz val="11"/>
        <rFont val="Arial MT"/>
        <family val="2"/>
      </rPr>
      <t xml:space="preserve">105, 110, 115, 120, 125, 130, 135, 140, 145, 150,
</t>
    </r>
    <r>
      <rPr>
        <sz val="11"/>
        <rFont val="Arial MT"/>
        <family val="2"/>
      </rPr>
      <t xml:space="preserve">155, 160, 165, 170, 175, 180, 185, 190, 195, 200,
</t>
    </r>
    <r>
      <rPr>
        <sz val="11"/>
        <rFont val="Arial MT"/>
        <family val="2"/>
      </rPr>
      <t xml:space="preserve">205, 210, 215, 220, 225, 230, 235, 240, 245, 250,
</t>
    </r>
    <r>
      <rPr>
        <sz val="11"/>
        <rFont val="Arial MT"/>
        <family val="2"/>
      </rPr>
      <t xml:space="preserve">255, 260, 265, 270, 275, 280, 285, 290, 295, 300,
</t>
    </r>
    <r>
      <rPr>
        <sz val="11"/>
        <rFont val="Arial MT"/>
        <family val="2"/>
      </rPr>
      <t xml:space="preserve">305, 310, 315, 320, 325, 330, 335, 340, 345, 350,
</t>
    </r>
    <r>
      <rPr>
        <sz val="11"/>
        <rFont val="Arial MT"/>
        <family val="2"/>
      </rPr>
      <t xml:space="preserve">355, 360, 365, 370, 375, 380, 385, 390, 395, 400,
</t>
    </r>
    <r>
      <rPr>
        <sz val="11"/>
        <rFont val="Arial MT"/>
        <family val="2"/>
      </rPr>
      <t xml:space="preserve">405, 410, 415, 420, 425, 430, 435, 440, 445, 450,
</t>
    </r>
    <r>
      <rPr>
        <sz val="11"/>
        <rFont val="Arial MT"/>
        <family val="2"/>
      </rPr>
      <t>455, 460, 465, 470, 475, 480, 485, 490, 495, 500</t>
    </r>
  </si>
  <si>
    <r>
      <rPr>
        <sz val="11"/>
        <rFont val="Arial MT"/>
        <family val="2"/>
      </rPr>
      <t xml:space="preserve">Questions:
</t>
    </r>
    <r>
      <rPr>
        <sz val="11"/>
        <rFont val="Arial MT"/>
        <family val="2"/>
      </rPr>
      <t xml:space="preserve">1. Quartiles: Calculate the first quartile (Q1), median (Q2), and third quartile (Q3) of the salary distribution.
</t>
    </r>
    <r>
      <rPr>
        <sz val="11"/>
        <rFont val="Arial MT"/>
        <family val="2"/>
      </rPr>
      <t xml:space="preserve">2. Percentiles: Calculate the 10th percentile, 25th percentile, 75th percentile, and 90th percentile of the salary distribution.
</t>
    </r>
    <r>
      <rPr>
        <sz val="11"/>
        <rFont val="Arial MT"/>
        <family val="2"/>
      </rPr>
      <t xml:space="preserve">3. Interpretation: Based on the quartiles and percentiles, what can be inferred about the
</t>
    </r>
    <r>
      <rPr>
        <sz val="11"/>
        <rFont val="Arial MT"/>
        <family val="2"/>
      </rPr>
      <t>income distribution of the employees?</t>
    </r>
  </si>
  <si>
    <r>
      <rPr>
        <sz val="11"/>
        <rFont val="Arial MT"/>
        <family val="2"/>
      </rPr>
      <t>By answering these questions using quartiles and percentiles, the company can understand the income levels at different points in the distribution, identify the median salary and the spread of salaries, and make informed decisions related to compensation, employee benefits, and salary structures.</t>
    </r>
  </si>
  <si>
    <r>
      <rPr>
        <b/>
        <i/>
        <sz val="11"/>
        <rFont val="Arial"/>
        <family val="2"/>
      </rPr>
      <t xml:space="preserve">2)   Question : A research study wants to analyze the weight distribution of a sample
</t>
    </r>
    <r>
      <rPr>
        <b/>
        <i/>
        <sz val="11"/>
        <rFont val="Arial"/>
        <family val="2"/>
      </rPr>
      <t>of individuals to assess their health and body composition.</t>
    </r>
  </si>
  <si>
    <r>
      <rPr>
        <sz val="11"/>
        <rFont val="Arial MT"/>
        <family val="2"/>
      </rPr>
      <t xml:space="preserve">Data:
</t>
    </r>
    <r>
      <rPr>
        <sz val="11"/>
        <rFont val="Arial MT"/>
        <family val="2"/>
      </rPr>
      <t>Let's consider the weights (in kilograms) of a sample of 100 individuals:</t>
    </r>
  </si>
  <si>
    <r>
      <rPr>
        <sz val="11"/>
        <rFont val="Arial MT"/>
        <family val="2"/>
      </rPr>
      <t xml:space="preserve">Questions:
</t>
    </r>
    <r>
      <rPr>
        <sz val="11"/>
        <rFont val="Arial MT"/>
        <family val="2"/>
      </rPr>
      <t xml:space="preserve">1. Quartiles: Calculate the first quartile (Q1), median (Q2), and third quartile (Q3) of the weight distribution.
</t>
    </r>
    <r>
      <rPr>
        <sz val="11"/>
        <rFont val="Arial MT"/>
        <family val="2"/>
      </rPr>
      <t xml:space="preserve">2. Percentiles: Calculate the 15th percentile, 50th percentile, and 85th percentile of the weight distribution.
</t>
    </r>
    <r>
      <rPr>
        <sz val="11"/>
        <rFont val="Arial MT"/>
        <family val="2"/>
      </rPr>
      <t xml:space="preserve">3. Interpretation: Based on the quartiles and percentiles, what can be inferred about the
</t>
    </r>
    <r>
      <rPr>
        <sz val="11"/>
        <rFont val="Arial MT"/>
        <family val="2"/>
      </rPr>
      <t>weight distribution of the individuals?</t>
    </r>
  </si>
  <si>
    <r>
      <rPr>
        <sz val="11"/>
        <rFont val="Arial MT"/>
        <family val="2"/>
      </rPr>
      <t>By answering these questions using quartiles and percentiles, the research study can understand the weight distribution and identify the weight ranges at different percentiles, such as underweight, normal weight, overweight, and obese categories. This information</t>
    </r>
  </si>
  <si>
    <r>
      <rPr>
        <sz val="11"/>
        <rFont val="Arial MT"/>
        <family val="2"/>
      </rPr>
      <t xml:space="preserve">can be used for evaluating health risks, designing appropriate interventions, and
</t>
    </r>
    <r>
      <rPr>
        <sz val="11"/>
        <rFont val="Arial MT"/>
        <family val="2"/>
      </rPr>
      <t>providing personalized recommendations for weight management.</t>
    </r>
  </si>
  <si>
    <r>
      <rPr>
        <b/>
        <i/>
        <sz val="11"/>
        <rFont val="Arial"/>
        <family val="2"/>
      </rPr>
      <t xml:space="preserve">3)   Question : A retail store wants to analyze the distribution of customer purchase
</t>
    </r>
    <r>
      <rPr>
        <b/>
        <i/>
        <sz val="11"/>
        <rFont val="Arial"/>
        <family val="2"/>
      </rPr>
      <t>amounts to identify their spending patterns.</t>
    </r>
  </si>
  <si>
    <r>
      <rPr>
        <sz val="11"/>
        <rFont val="Arial MT"/>
        <family val="2"/>
      </rPr>
      <t xml:space="preserve">Data:
</t>
    </r>
    <r>
      <rPr>
        <sz val="11"/>
        <rFont val="Arial MT"/>
        <family val="2"/>
      </rPr>
      <t>Let's consider the purchase amounts (in dollars) of a sample of 150 customers:</t>
    </r>
  </si>
  <si>
    <r>
      <rPr>
        <sz val="11"/>
        <rFont val="Arial MT"/>
        <family val="2"/>
      </rPr>
      <t xml:space="preserve">Purchase Amounts: 20, 25, 30, 35, 40, 45, 50, 55, 60, 65,
</t>
    </r>
    <r>
      <rPr>
        <sz val="11"/>
        <rFont val="Arial MT"/>
        <family val="2"/>
      </rPr>
      <t xml:space="preserve">70, 75, 80, 85, 90, 95, 100, 105, 110, 115,
</t>
    </r>
    <r>
      <rPr>
        <sz val="11"/>
        <rFont val="Arial MT"/>
        <family val="2"/>
      </rPr>
      <t xml:space="preserve">120, 125, 130, 135, 140, 145, 150, 155, 160, 165,
</t>
    </r>
    <r>
      <rPr>
        <sz val="11"/>
        <rFont val="Arial MT"/>
        <family val="2"/>
      </rPr>
      <t xml:space="preserve">170, 175, 180, 185, 190, 195, 200, 205, 210, 215,
</t>
    </r>
    <r>
      <rPr>
        <sz val="11"/>
        <rFont val="Arial MT"/>
        <family val="2"/>
      </rPr>
      <t xml:space="preserve">220, 225, 230, 235, 240, 245, 250, 255, 260, 265,
</t>
    </r>
    <r>
      <rPr>
        <sz val="11"/>
        <rFont val="Arial MT"/>
        <family val="2"/>
      </rPr>
      <t xml:space="preserve">270, 275, 280, 285, 290, 295, 300, 305, 310, 315,
</t>
    </r>
    <r>
      <rPr>
        <sz val="11"/>
        <rFont val="Arial MT"/>
        <family val="2"/>
      </rPr>
      <t xml:space="preserve">320, 325, 330, 335, 340, 345, 350, 355, 360, 365,
</t>
    </r>
    <r>
      <rPr>
        <sz val="11"/>
        <rFont val="Arial MT"/>
        <family val="2"/>
      </rPr>
      <t xml:space="preserve">370, 375, 380, 385, 390, 395, 400, 405, 410, 415,
</t>
    </r>
    <r>
      <rPr>
        <sz val="11"/>
        <rFont val="Arial MT"/>
        <family val="2"/>
      </rPr>
      <t xml:space="preserve">420, 425, 430, 435, 440, 445, 450, 455, 460, 465,
</t>
    </r>
    <r>
      <rPr>
        <sz val="11"/>
        <rFont val="Arial MT"/>
        <family val="2"/>
      </rPr>
      <t xml:space="preserve">470, 475, 480, 485, 490, 495, 500, 505, 510, 515,
</t>
    </r>
    <r>
      <rPr>
        <sz val="11"/>
        <rFont val="Arial MT"/>
        <family val="2"/>
      </rPr>
      <t>520, 525, 530, 535, 540, 545, 550, 555, 560, 565</t>
    </r>
  </si>
  <si>
    <r>
      <rPr>
        <sz val="11"/>
        <rFont val="Arial MT"/>
        <family val="2"/>
      </rPr>
      <t xml:space="preserve">Questions:
</t>
    </r>
    <r>
      <rPr>
        <sz val="11"/>
        <rFont val="Arial MT"/>
        <family val="2"/>
      </rPr>
      <t xml:space="preserve">1. Quartiles: Calculate the first quartile (Q1), median (Q2), and third quartile (Q3) of the purchase amount distribution.
</t>
    </r>
    <r>
      <rPr>
        <sz val="11"/>
        <rFont val="Arial MT"/>
        <family val="2"/>
      </rPr>
      <t xml:space="preserve">2. Percentiles: Calculate the 20th percentile, 40th percentile, and 80th percentile of the purchase amount distribution.
</t>
    </r>
    <r>
      <rPr>
        <sz val="11"/>
        <rFont val="Arial MT"/>
        <family val="2"/>
      </rPr>
      <t xml:space="preserve">3. Interpretation: Based on the quartiles and percentiles, what can be inferred about the
</t>
    </r>
    <r>
      <rPr>
        <sz val="11"/>
        <rFont val="Arial MT"/>
        <family val="2"/>
      </rPr>
      <t>spending patterns of the customers?</t>
    </r>
  </si>
  <si>
    <r>
      <rPr>
        <sz val="11"/>
        <rFont val="Arial MT"/>
        <family val="2"/>
      </rPr>
      <t>By answering these questions using quartiles and percentiles, the retail store can understand the distribution of purchase amounts, identify the spending ranges at different percentiles, analyze customer segments based on their spending behavior, and tailor marketing strategies to target specific customer groups.</t>
    </r>
  </si>
  <si>
    <r>
      <rPr>
        <b/>
        <i/>
        <sz val="11"/>
        <rFont val="Arial"/>
        <family val="2"/>
      </rPr>
      <t xml:space="preserve">4)   Question : A study wants to analyze the distribution of commute times of
</t>
    </r>
    <r>
      <rPr>
        <b/>
        <i/>
        <sz val="11"/>
        <rFont val="Arial"/>
        <family val="2"/>
      </rPr>
      <t>employees to determine the average time spent traveling to work.</t>
    </r>
  </si>
  <si>
    <r>
      <rPr>
        <sz val="11"/>
        <rFont val="Arial MT"/>
        <family val="2"/>
      </rPr>
      <t xml:space="preserve">Data:
</t>
    </r>
    <r>
      <rPr>
        <sz val="11"/>
        <rFont val="Arial MT"/>
        <family val="2"/>
      </rPr>
      <t>Let's consider the commute times (in minutes) of a sample of 250 employees:</t>
    </r>
  </si>
  <si>
    <r>
      <rPr>
        <sz val="11"/>
        <rFont val="Arial MT"/>
        <family val="2"/>
      </rPr>
      <t xml:space="preserve">Commute Times: 15, 20, 25, 30, 35, 40, 45, 50, 55, 60,
</t>
    </r>
    <r>
      <rPr>
        <sz val="11"/>
        <rFont val="Arial MT"/>
        <family val="2"/>
      </rPr>
      <t xml:space="preserve">65, 70, 75, 80, 85, 90, 95, 100, 105, 110,
</t>
    </r>
    <r>
      <rPr>
        <sz val="11"/>
        <rFont val="Arial MT"/>
        <family val="2"/>
      </rPr>
      <t xml:space="preserve">115, 120, 125, 130, 135, 140, 145, 150, 155, 160,
</t>
    </r>
    <r>
      <rPr>
        <sz val="11"/>
        <rFont val="Arial MT"/>
        <family val="2"/>
      </rPr>
      <t>165, 170, 175, 180, 185, 190, 195, 200, 205, 210,</t>
    </r>
  </si>
  <si>
    <r>
      <rPr>
        <sz val="11"/>
        <rFont val="Arial MT"/>
        <family val="2"/>
      </rPr>
      <t xml:space="preserve">215, 220, 225, 230, 235, 240, 245, 250, 255, 260,
</t>
    </r>
    <r>
      <rPr>
        <sz val="11"/>
        <rFont val="Arial MT"/>
        <family val="2"/>
      </rPr>
      <t xml:space="preserve">265, 270, 275, 280, 285, 290, 295, 300, 305, 310,
</t>
    </r>
    <r>
      <rPr>
        <sz val="11"/>
        <rFont val="Arial MT"/>
        <family val="2"/>
      </rPr>
      <t xml:space="preserve">315, 320, 325, 330, 335, 340, 345, 350, 355, 360,
</t>
    </r>
    <r>
      <rPr>
        <sz val="11"/>
        <rFont val="Arial MT"/>
        <family val="2"/>
      </rPr>
      <t xml:space="preserve">365, 370, 375, 380, 385, 390, 395, 400, 405, 410,
</t>
    </r>
    <r>
      <rPr>
        <sz val="11"/>
        <rFont val="Arial MT"/>
        <family val="2"/>
      </rPr>
      <t xml:space="preserve">415, 420, 425, 430, 435, 440, 445, 450, 455, 460,
</t>
    </r>
    <r>
      <rPr>
        <sz val="11"/>
        <rFont val="Arial MT"/>
        <family val="2"/>
      </rPr>
      <t xml:space="preserve">465, 470, 475, 480, 485, 490, 495, 500, 505, 510,
</t>
    </r>
    <r>
      <rPr>
        <sz val="11"/>
        <rFont val="Arial MT"/>
        <family val="2"/>
      </rPr>
      <t xml:space="preserve">515, 520, 525, 530, 535, 540, 545, 550, 555, 560,
</t>
    </r>
    <r>
      <rPr>
        <sz val="11"/>
        <rFont val="Arial MT"/>
        <family val="2"/>
      </rPr>
      <t>565, 570, 575, 580, 585, 590, 595, 600, 605, 610</t>
    </r>
  </si>
  <si>
    <r>
      <rPr>
        <sz val="11"/>
        <rFont val="Arial MT"/>
        <family val="2"/>
      </rPr>
      <t xml:space="preserve">Questions:
</t>
    </r>
    <r>
      <rPr>
        <sz val="11"/>
        <rFont val="Arial MT"/>
        <family val="2"/>
      </rPr>
      <t xml:space="preserve">1. Quartiles: Calculate the first quartile (Q1), median (Q2), and third quartile (Q3) of the commute time distribution.
</t>
    </r>
    <r>
      <rPr>
        <sz val="11"/>
        <rFont val="Arial MT"/>
        <family val="2"/>
      </rPr>
      <t xml:space="preserve">2. Percentiles: Calculate the 30th percentile, 50th percentile, and 70th percentile of the commute time distribution.
</t>
    </r>
    <r>
      <rPr>
        <sz val="11"/>
        <rFont val="Arial MT"/>
        <family val="2"/>
      </rPr>
      <t xml:space="preserve">3. Interpretation: Based on the quartiles and percentiles, what can be inferred about the
</t>
    </r>
    <r>
      <rPr>
        <sz val="11"/>
        <rFont val="Arial MT"/>
        <family val="2"/>
      </rPr>
      <t>average commute time of the employees?</t>
    </r>
  </si>
  <si>
    <r>
      <rPr>
        <sz val="11"/>
        <rFont val="Arial MT"/>
        <family val="2"/>
      </rPr>
      <t>By answering these questions using quartiles and percentiles, the study can determine the typical commute times, understand the spread of commute times, identify any outliers or extreme values, and provide insights for transportation planning, scheduling, and employee well-being initiatives.</t>
    </r>
  </si>
  <si>
    <r>
      <rPr>
        <b/>
        <i/>
        <sz val="11"/>
        <rFont val="Arial"/>
        <family val="2"/>
      </rPr>
      <t xml:space="preserve">5)   Question : A manufacturing company wants to analyze the defect rates in its
</t>
    </r>
    <r>
      <rPr>
        <b/>
        <i/>
        <sz val="11"/>
        <rFont val="Arial"/>
        <family val="2"/>
      </rPr>
      <t>production process to evaluate product quality.</t>
    </r>
  </si>
  <si>
    <r>
      <rPr>
        <sz val="11"/>
        <rFont val="Arial MT"/>
        <family val="2"/>
      </rPr>
      <t xml:space="preserve">Data:
</t>
    </r>
    <r>
      <rPr>
        <sz val="11"/>
        <rFont val="Arial MT"/>
        <family val="2"/>
      </rPr>
      <t>Let's consider the defect rates (in percentage) for a sample of 300 products:</t>
    </r>
  </si>
  <si>
    <r>
      <rPr>
        <sz val="11"/>
        <rFont val="Arial MT"/>
        <family val="2"/>
      </rPr>
      <t xml:space="preserve">Defect Rates: 0.5, 1.0, 0.2, 0.7, 0.3, 0.9, 1.2, 0.6, 0.4, 1.1,
</t>
    </r>
    <r>
      <rPr>
        <sz val="11"/>
        <rFont val="Arial MT"/>
        <family val="2"/>
      </rPr>
      <t xml:space="preserve">0.8, 0.5, 0.3, 0.6, 1.0, 0.4, 0.5, 0.7, 0.9, 1.3,
</t>
    </r>
    <r>
      <rPr>
        <sz val="11"/>
        <rFont val="Arial MT"/>
        <family val="2"/>
      </rPr>
      <t xml:space="preserve">0.8, 0.6, 0.4, 0.7, 0.9, 0.5, 0.2, 1.0, 0.8, 0.3,
</t>
    </r>
    <r>
      <rPr>
        <sz val="11"/>
        <rFont val="Arial MT"/>
        <family val="2"/>
      </rPr>
      <t xml:space="preserve">0.6, 0.4, 0.7, 0.9, 1.2, 0.8, 0.3, 0.6, 0.5, 0.4,
</t>
    </r>
    <r>
      <rPr>
        <sz val="11"/>
        <rFont val="Arial MT"/>
        <family val="2"/>
      </rPr>
      <t xml:space="preserve">0.7, 0.9, 1.1, 0.3, 1.4, 0,9, 0.6, 0.2, 1.5, 1.0
</t>
    </r>
    <r>
      <rPr>
        <sz val="11"/>
        <rFont val="Arial MT"/>
        <family val="2"/>
      </rPr>
      <t xml:space="preserve">0.6, 0.4, 0.7, 1.0, 0.8, 0.3, 0.5, 0.8, 0.6, 0.3, 0.9
</t>
    </r>
    <r>
      <rPr>
        <sz val="11"/>
        <rFont val="Arial MT"/>
        <family val="2"/>
      </rPr>
      <t xml:space="preserve">0.4, 0.7, 0.9, 1.0, 0.8, 0.3, 0.5, 0.6, 0.4, 0.7,
</t>
    </r>
    <r>
      <rPr>
        <sz val="11"/>
        <rFont val="Arial MT"/>
        <family val="2"/>
      </rPr>
      <t xml:space="preserve">0.9, 1.1, 0.8, 0.3, 0.5, 0.6, 0.4, 0.7, 0.9, 1.0,
</t>
    </r>
    <r>
      <rPr>
        <sz val="11"/>
        <rFont val="Arial MT"/>
        <family val="2"/>
      </rPr>
      <t xml:space="preserve">0.8, 0.3, 0.5, 0.6, 0.4, 0.7, 0.9, 1.1, 0.8, 0.3,
</t>
    </r>
    <r>
      <rPr>
        <sz val="11"/>
        <rFont val="Arial MT"/>
        <family val="2"/>
      </rPr>
      <t xml:space="preserve">0.5, 0.6, 0.4, 0.7, 0.9, 1.0, 0.8, 0.3, 0.5, 0.6,
</t>
    </r>
    <r>
      <rPr>
        <sz val="11"/>
        <rFont val="Arial MT"/>
        <family val="2"/>
      </rPr>
      <t xml:space="preserve">0.4, 0.7, 0.9, 1.1, 0.8, 0.3, 0.5, 0.6, 0.4, 0.7,
</t>
    </r>
    <r>
      <rPr>
        <sz val="11"/>
        <rFont val="Arial MT"/>
        <family val="2"/>
      </rPr>
      <t>0.9, 1.0, 0.8, 0.3, 0.5, 0.6, 0.4, 0.7, 0.9, 1.1</t>
    </r>
  </si>
  <si>
    <r>
      <rPr>
        <sz val="11"/>
        <rFont val="Arial MT"/>
        <family val="2"/>
      </rPr>
      <t xml:space="preserve">Questions:
</t>
    </r>
    <r>
      <rPr>
        <sz val="11"/>
        <rFont val="Arial MT"/>
        <family val="2"/>
      </rPr>
      <t>1. Quartiles: Calculate the first quartile (Q1), median (Q2), and third quartile (Q3) of the defect rate distribution.</t>
    </r>
  </si>
  <si>
    <r>
      <rPr>
        <sz val="11"/>
        <rFont val="Arial MT"/>
        <family val="2"/>
      </rPr>
      <t xml:space="preserve">2. Percentiles: Calculate the 25th percentile, 50th percentile, and 75th percentile of the defect rate distribution.
</t>
    </r>
    <r>
      <rPr>
        <sz val="11"/>
        <rFont val="Arial MT"/>
        <family val="2"/>
      </rPr>
      <t xml:space="preserve">3. Interpretation: Based on the quartiles and percentiles, what can be inferred about the
</t>
    </r>
    <r>
      <rPr>
        <sz val="11"/>
        <rFont val="Arial MT"/>
        <family val="2"/>
      </rPr>
      <t>quality of the products?</t>
    </r>
  </si>
  <si>
    <r>
      <rPr>
        <sz val="11"/>
        <rFont val="Arial MT"/>
        <family val="2"/>
      </rPr>
      <t>By answering these questions using quartiles and percentiles, the manufacturing company can evaluate the defect rates, understand the spread of defects, identify any quality issues or deviations from standards, and take corrective actions to improve the production process and product quality.</t>
    </r>
  </si>
  <si>
    <r>
      <rPr>
        <b/>
        <sz val="13"/>
        <rFont val="Arial"/>
        <family val="2"/>
      </rPr>
      <t>Questions on Correlation and Covariance</t>
    </r>
  </si>
  <si>
    <r>
      <rPr>
        <b/>
        <i/>
        <sz val="11"/>
        <rFont val="Arial"/>
        <family val="2"/>
      </rPr>
      <t>1)   Question : A marketing department wants to understand the relationship between advertising expenditure and sales revenue to assess the effectiveness of their advertising campaigns.</t>
    </r>
  </si>
  <si>
    <r>
      <rPr>
        <sz val="11"/>
        <rFont val="Arial MT"/>
        <family val="2"/>
      </rPr>
      <t xml:space="preserve">Data:
</t>
    </r>
    <r>
      <rPr>
        <sz val="11"/>
        <rFont val="Arial MT"/>
        <family val="2"/>
      </rPr>
      <t>Let's consider the monthly advertising expenditure (in thousands of dollars) and corresponding sales revenue (in thousands of dollars) for a sample of 12 months:</t>
    </r>
  </si>
  <si>
    <r>
      <rPr>
        <sz val="11"/>
        <rFont val="Arial MT"/>
        <family val="2"/>
      </rPr>
      <t xml:space="preserve">Advertising Expenditure: 10, 12, 15, 18, 20, 22, 25, 28, 30, 32, 35, 38
</t>
    </r>
    <r>
      <rPr>
        <sz val="11"/>
        <rFont val="Arial MT"/>
        <family val="2"/>
      </rPr>
      <t>Sales Revenue: 50, 55, 60, 65, 70, 75, 80, 85, 90, 95, 100, 105</t>
    </r>
  </si>
  <si>
    <r>
      <rPr>
        <sz val="11"/>
        <rFont val="Arial MT"/>
        <family val="2"/>
      </rPr>
      <t xml:space="preserve">Question:
</t>
    </r>
    <r>
      <rPr>
        <sz val="11"/>
        <rFont val="Arial MT"/>
        <family val="2"/>
      </rPr>
      <t>Calculate the correlation coefficient between advertising expenditure and sales revenue. Interpret the value of the correlation coefficient and explain the nature of the relationship between advertising expenditure and sales revenue.</t>
    </r>
  </si>
  <si>
    <r>
      <rPr>
        <sz val="11"/>
        <rFont val="Arial MT"/>
        <family val="2"/>
      </rPr>
      <t>By analyzing the correlation coefficient, the marketing department can determine the strength and direction of the relationship between advertising expenditure and sales revenue. This information can help them make informed decisions about allocating their advertising budget and optimizing their marketing strategies.</t>
    </r>
  </si>
  <si>
    <r>
      <rPr>
        <b/>
        <i/>
        <sz val="11"/>
        <rFont val="Arial"/>
        <family val="2"/>
      </rPr>
      <t xml:space="preserve">2)   Question : An investment analyst wants to assess the relationship between the
</t>
    </r>
    <r>
      <rPr>
        <b/>
        <i/>
        <sz val="11"/>
        <rFont val="Arial"/>
        <family val="2"/>
      </rPr>
      <t>stock prices of two companies to identify potential investment opportunities.</t>
    </r>
  </si>
  <si>
    <r>
      <rPr>
        <sz val="11"/>
        <rFont val="Arial MT"/>
        <family val="2"/>
      </rPr>
      <t xml:space="preserve">Data:
</t>
    </r>
    <r>
      <rPr>
        <sz val="11"/>
        <rFont val="Arial MT"/>
        <family val="2"/>
      </rPr>
      <t>Let's consider the daily closing prices (in dollars) of Company A and Company B for a sample of 20 trading days:</t>
    </r>
  </si>
  <si>
    <r>
      <rPr>
        <sz val="11"/>
        <rFont val="Arial MT"/>
        <family val="2"/>
      </rPr>
      <t xml:space="preserve">Company A: 45, 47, 48, 50, 52, 53, 55, 56, 58, 60, 62, 64, 65, 67, 69, 70, 72, 74, 76, 77
</t>
    </r>
    <r>
      <rPr>
        <sz val="11"/>
        <rFont val="Arial MT"/>
        <family val="2"/>
      </rPr>
      <t>Company B: 52, 54, 55, 57, 59, 60, 61, 62, 64, 66, 67, 69, 71, 73, 74, 76, 78, 80, 82, 83</t>
    </r>
  </si>
  <si>
    <r>
      <rPr>
        <sz val="11"/>
        <rFont val="Arial MT"/>
        <family val="2"/>
      </rPr>
      <t xml:space="preserve">Question:
</t>
    </r>
    <r>
      <rPr>
        <sz val="11"/>
        <rFont val="Arial MT"/>
        <family val="2"/>
      </rPr>
      <t>Calculate the covariance between the stock prices of Company A and Company B. Interpret the value of the covariance and explain the nature of the relationship between the two stocks.</t>
    </r>
  </si>
  <si>
    <r>
      <rPr>
        <sz val="11"/>
        <rFont val="Arial MT"/>
        <family val="2"/>
      </rPr>
      <t>By analyzing the covariance, the investment analyst can determine whether the stock prices of Company A and Company B move together (positive covariance) or in opposite directions (negative covariance). This information can assist in identifying potential investment opportunities and understanding the diversification benefits of combining these stocks in a portfolio.</t>
    </r>
  </si>
  <si>
    <r>
      <rPr>
        <b/>
        <i/>
        <sz val="11"/>
        <rFont val="Arial"/>
        <family val="2"/>
      </rPr>
      <t xml:space="preserve">3)   Question : A researcher wants to examine the relationship between the hours
</t>
    </r>
    <r>
      <rPr>
        <b/>
        <i/>
        <sz val="11"/>
        <rFont val="Arial"/>
        <family val="2"/>
      </rPr>
      <t>spent studying and the exam scores of a group of students.</t>
    </r>
  </si>
  <si>
    <r>
      <rPr>
        <sz val="11"/>
        <rFont val="Arial MT"/>
        <family val="2"/>
      </rPr>
      <t xml:space="preserve">Data:
</t>
    </r>
    <r>
      <rPr>
        <sz val="11"/>
        <rFont val="Arial MT"/>
        <family val="2"/>
      </rPr>
      <t>Let's consider the number of hours spent studying and the corresponding exam scores for a sample of 30 students:</t>
    </r>
  </si>
  <si>
    <r>
      <rPr>
        <sz val="11"/>
        <rFont val="Arial MT"/>
        <family val="2"/>
      </rPr>
      <t xml:space="preserve">Hours Spent Studying: 10, 12, 15, 18, 20, 22, 25, 28, 30, 32, 35, 38, 40, 42, 45, 48, 50,
</t>
    </r>
    <r>
      <rPr>
        <sz val="11"/>
        <rFont val="Arial MT"/>
        <family val="2"/>
      </rPr>
      <t xml:space="preserve">52, 55, 58, 60, 62, 65, 68, 70, 72, 75, 78, 80, 82
</t>
    </r>
    <r>
      <rPr>
        <sz val="11"/>
        <rFont val="Arial MT"/>
        <family val="2"/>
      </rPr>
      <t xml:space="preserve">Exam Scores: 60, 65, 70, 75, 80, 82, 85, 88, 90, 92, 93, 95, 96, 97, 98, 99, 100, 102,
</t>
    </r>
    <r>
      <rPr>
        <sz val="11"/>
        <rFont val="Arial MT"/>
        <family val="2"/>
      </rPr>
      <t>105, 106, 107, 108, 110, 112, 114, 115, 116, 118, 120, 122</t>
    </r>
  </si>
  <si>
    <r>
      <rPr>
        <sz val="11"/>
        <rFont val="Arial MT"/>
        <family val="2"/>
      </rPr>
      <t xml:space="preserve">Question:
</t>
    </r>
    <r>
      <rPr>
        <sz val="11"/>
        <rFont val="Arial MT"/>
        <family val="2"/>
      </rPr>
      <t>Calculate the correlation coefficient between the hours spent studying and the exam scores. Interpret the value of the correlation coefficient and explain the nature of the relationship between studying hours and exam scores.</t>
    </r>
  </si>
  <si>
    <r>
      <rPr>
        <sz val="11"/>
        <rFont val="Arial MT"/>
        <family val="2"/>
      </rPr>
      <t>By analyzing the correlation coefficient, the researcher can determine the strength and direction of the relationship between studying hours and exam scores. This information can provide insights into the effectiveness of studying and help students and educators make informed decisions about study habits and academic performance.</t>
    </r>
  </si>
  <si>
    <r>
      <rPr>
        <b/>
        <sz val="13"/>
        <rFont val="Arial"/>
        <family val="2"/>
      </rPr>
      <t>Questions on discrete and continuous random variable</t>
    </r>
  </si>
  <si>
    <r>
      <rPr>
        <b/>
        <i/>
        <sz val="12"/>
        <rFont val="Arial"/>
        <family val="2"/>
      </rPr>
      <t>Discrete Random Variable</t>
    </r>
    <r>
      <rPr>
        <sz val="12"/>
        <rFont val="Arial MT"/>
        <family val="2"/>
      </rPr>
      <t>:</t>
    </r>
  </si>
  <si>
    <r>
      <rPr>
        <sz val="12"/>
        <rFont val="Arial MT"/>
        <family val="2"/>
      </rPr>
      <t xml:space="preserve">1. Problem: A fair six-sided die is rolled 100 times. What is the probability of rolling exactly five 3's?
</t>
    </r>
    <r>
      <rPr>
        <sz val="12"/>
        <rFont val="Arial MT"/>
        <family val="2"/>
      </rPr>
      <t>Data: Number of rolls (n) = 100</t>
    </r>
  </si>
  <si>
    <r>
      <rPr>
        <sz val="12"/>
        <rFont val="Arial MT"/>
        <family val="2"/>
      </rPr>
      <t xml:space="preserve">2. Problem: In a deck of 52 playing cards, five cards are randomly drawn without replacement. What is the probability of getting two hearts?
</t>
    </r>
    <r>
      <rPr>
        <sz val="12"/>
        <rFont val="Arial MT"/>
        <family val="2"/>
      </rPr>
      <t>Data: Number of hearts in the deck (N) = 13, Number of cards drawn (n) = 5</t>
    </r>
  </si>
  <si>
    <r>
      <rPr>
        <sz val="12"/>
        <rFont val="Arial MT"/>
        <family val="2"/>
      </rPr>
      <t xml:space="preserve">3. Problem: A multiple-choice test consists of 10 questions, each with four possible answers. If a student randomly guesses on each question, what is the probability of getting at least 8 questions correct?
</t>
    </r>
    <r>
      <rPr>
        <sz val="12"/>
        <rFont val="Arial MT"/>
        <family val="2"/>
      </rPr>
      <t>Data: Number of questions (n) = 10, Number of possible answers per question (k) = 4</t>
    </r>
  </si>
  <si>
    <r>
      <rPr>
        <sz val="12"/>
        <rFont val="Arial MT"/>
        <family val="2"/>
      </rPr>
      <t xml:space="preserve">4. Problem: A bag contains 30 red balls, 20 blue balls, and 10 green balls. Three balls are drawn without replacement. What is the probability that all three balls are blue?
</t>
    </r>
    <r>
      <rPr>
        <sz val="12"/>
        <rFont val="Arial MT"/>
        <family val="2"/>
      </rPr>
      <t>Data: Number of blue balls in the bag (N) = 20, Number of balls drawn (n) = 3</t>
    </r>
  </si>
  <si>
    <r>
      <rPr>
        <sz val="12"/>
        <rFont val="Arial MT"/>
        <family val="2"/>
      </rPr>
      <t xml:space="preserve">5. Problem: In a football match, a player scores a goal with a 0.3 probability per shot. If the player takes 10 shots, what is the probability of scoring exactly three goals?
</t>
    </r>
    <r>
      <rPr>
        <sz val="12"/>
        <rFont val="Arial MT"/>
        <family val="2"/>
      </rPr>
      <t>Data: Number of shots (n) = 10, Probability of scoring per shot (p) = 0.3</t>
    </r>
  </si>
  <si>
    <r>
      <rPr>
        <b/>
        <i/>
        <sz val="12"/>
        <rFont val="Arial"/>
        <family val="2"/>
      </rPr>
      <t>Continuous Random Variable</t>
    </r>
    <r>
      <rPr>
        <sz val="12"/>
        <rFont val="Arial MT"/>
        <family val="2"/>
      </rPr>
      <t>:</t>
    </r>
  </si>
  <si>
    <r>
      <rPr>
        <sz val="12"/>
        <rFont val="Arial MT"/>
        <family val="2"/>
      </rPr>
      <t xml:space="preserve">1. Problem: The heights of students in a class are normally distributed with a mean of 165 cm and a standard deviation of 10 cm. What is the probability that a randomly selected student is taller than 180 cm?
</t>
    </r>
    <r>
      <rPr>
        <sz val="12"/>
        <rFont val="Arial MT"/>
        <family val="2"/>
      </rPr>
      <t xml:space="preserve">Data: Mean height (μ) = 165 cm, Standard deviation (σ) = 10 cm, Height threshold (x)
</t>
    </r>
    <r>
      <rPr>
        <sz val="12"/>
        <rFont val="Arial MT"/>
        <family val="2"/>
      </rPr>
      <t>= 180 cm</t>
    </r>
  </si>
  <si>
    <r>
      <rPr>
        <sz val="12"/>
        <rFont val="Arial MT"/>
        <family val="2"/>
      </rPr>
      <t xml:space="preserve">2. Problem: The waiting times at a coffee shop are exponentially distributed with a mean of 5 minutes. What is the probability that a customer waits less than 3 minutes?
</t>
    </r>
    <r>
      <rPr>
        <sz val="12"/>
        <rFont val="Arial MT"/>
        <family val="2"/>
      </rPr>
      <t>Data: Mean waiting time (μ) = 5 minutes, Waiting time threshold (x) = 3 minutes</t>
    </r>
  </si>
  <si>
    <r>
      <rPr>
        <sz val="12"/>
        <rFont val="Arial MT"/>
        <family val="2"/>
      </rPr>
      <t>3. Problem: The lifetimes of a certain brand of light bulbs are normally distributed with a mean of 1000 hours and a standard deviation of 100 hours. What is the probability that a randomly selected light bulb lasts between 900 and 1100 hours?</t>
    </r>
  </si>
  <si>
    <r>
      <rPr>
        <sz val="12"/>
        <rFont val="Arial MT"/>
        <family val="2"/>
      </rPr>
      <t xml:space="preserve">Data: Mean lifetime (μ) = 1000 hours, Standard deviation (σ) = 100 hours, Lifetime
</t>
    </r>
    <r>
      <rPr>
        <sz val="12"/>
        <rFont val="Arial MT"/>
        <family val="2"/>
      </rPr>
      <t>range (lower limit x1, upper limit x2)</t>
    </r>
  </si>
  <si>
    <r>
      <rPr>
        <sz val="12"/>
        <rFont val="Arial MT"/>
        <family val="2"/>
      </rPr>
      <t xml:space="preserve">4. Problem: The weights of apples in a basket follow a uniform distribution between 100 grams and 200 grams. What is the probability that a randomly selected apple weighs between 150 and 170 grams?
</t>
    </r>
    <r>
      <rPr>
        <sz val="12"/>
        <rFont val="Arial MT"/>
        <family val="2"/>
      </rPr>
      <t>Data: Weight range (lower limit x1, upper limit x2)</t>
    </r>
  </si>
  <si>
    <r>
      <rPr>
        <sz val="12"/>
        <rFont val="Arial MT"/>
        <family val="2"/>
      </rPr>
      <t xml:space="preserve">5. Problem: The time taken to complete a task is exponentially distributed with a mean of 20 minutes. What is the probability that the task is completed in less than 15 minutes?
</t>
    </r>
    <r>
      <rPr>
        <sz val="12"/>
        <rFont val="Arial MT"/>
        <family val="2"/>
      </rPr>
      <t>Data: Mean time (μ) = 20 minutes, Time threshold (x) = 15 minutes</t>
    </r>
  </si>
  <si>
    <r>
      <rPr>
        <b/>
        <i/>
        <sz val="13"/>
        <rFont val="Arial"/>
        <family val="2"/>
      </rPr>
      <t>Questions on Discrete Distribution and Continuous Distribution</t>
    </r>
  </si>
  <si>
    <r>
      <rPr>
        <b/>
        <i/>
        <sz val="12"/>
        <rFont val="Arial"/>
        <family val="2"/>
      </rPr>
      <t>Discrete Distribution</t>
    </r>
    <r>
      <rPr>
        <sz val="12"/>
        <rFont val="Arial MT"/>
        <family val="2"/>
      </rPr>
      <t>:</t>
    </r>
  </si>
  <si>
    <r>
      <rPr>
        <sz val="12"/>
        <rFont val="Arial MT"/>
        <family val="2"/>
      </rPr>
      <t xml:space="preserve">1. Problem: A company sells smartphones, and the number of defects per batch follows a Poisson distribution with a mean of 2 defects. What is the probability of having exactly 3 defects in a randomly selected batch?
</t>
    </r>
    <r>
      <rPr>
        <sz val="12"/>
        <rFont val="Arial MT"/>
        <family val="2"/>
      </rPr>
      <t>Data: Mean number of defects (λ) = 2, Number of defects (x) = 3</t>
    </r>
  </si>
  <si>
    <r>
      <rPr>
        <sz val="12"/>
        <rFont val="Arial MT"/>
        <family val="2"/>
      </rPr>
      <t>Explanation: The problem involves a discrete distribution (Poisson) because we are dealing with the count of defects in a batch of smartphones. The Poisson distribution models the probability of a given number of events occurring within a fixed interval of time or space.</t>
    </r>
  </si>
  <si>
    <r>
      <rPr>
        <sz val="12"/>
        <rFont val="Arial MT"/>
        <family val="2"/>
      </rPr>
      <t xml:space="preserve">2. Problem: In a game, a player has a 0.3 probability of winning each round. If the player plays 10 rounds, what is the probability of winning exactly 3 rounds?
</t>
    </r>
    <r>
      <rPr>
        <sz val="12"/>
        <rFont val="Arial MT"/>
        <family val="2"/>
      </rPr>
      <t xml:space="preserve">Data: Probability of winning (p) = 0.3, Number of rounds (n) = 10, Number of wins (x)
</t>
    </r>
    <r>
      <rPr>
        <sz val="12"/>
        <rFont val="Arial MT"/>
        <family val="2"/>
      </rPr>
      <t>= 3</t>
    </r>
  </si>
  <si>
    <r>
      <rPr>
        <sz val="12"/>
        <rFont val="Arial MT"/>
        <family val="2"/>
      </rPr>
      <t>Explanation: This problem also involves a discrete distribution (Binomial) because we are dealing with a fixed number of independent trials (rounds) with a probability of success (winning) in each trial. The Binomial distribution models the probability of achieving a certain number of successes in a fixed number of trials.</t>
    </r>
  </si>
  <si>
    <r>
      <rPr>
        <sz val="12"/>
        <rFont val="Arial MT"/>
        <family val="2"/>
      </rPr>
      <t xml:space="preserve">3. Problem: A six-sided fair die is rolled three times. What is the probability of obtaining at least one 6?
</t>
    </r>
    <r>
      <rPr>
        <sz val="12"/>
        <rFont val="Arial MT"/>
        <family val="2"/>
      </rPr>
      <t>Data: Number of rolls (n) = 3</t>
    </r>
  </si>
  <si>
    <r>
      <rPr>
        <sz val="12"/>
        <rFont val="Arial MT"/>
        <family val="2"/>
      </rPr>
      <t>Explanation: Here, we have a discrete distribution (Geometric) since we are interested in the number of trials required to achieve the first success (rolling a 6) in a sequence of independent trials. The Geometric distribution models the probability of achieving the first success on a specific trial.</t>
    </r>
  </si>
  <si>
    <r>
      <rPr>
        <b/>
        <i/>
        <sz val="12"/>
        <rFont val="Arial"/>
        <family val="2"/>
      </rPr>
      <t>Continuous Distribution</t>
    </r>
    <r>
      <rPr>
        <sz val="12"/>
        <rFont val="Arial MT"/>
        <family val="2"/>
      </rPr>
      <t>:</t>
    </r>
  </si>
  <si>
    <r>
      <rPr>
        <sz val="12"/>
        <rFont val="Arial MT"/>
        <family val="2"/>
      </rPr>
      <t xml:space="preserve">1. Problem: The weights of apples in a basket follow a normal distribution with a mean of 150 grams and a standard deviation of 10 grams. What is the probability that a randomly selected apple weighs between 140 and 160 grams?
</t>
    </r>
    <r>
      <rPr>
        <sz val="12"/>
        <rFont val="Arial MT"/>
        <family val="2"/>
      </rPr>
      <t xml:space="preserve">Data: Mean weight (μ) = 150 grams, Standard deviation (σ) = 10 grams, Weight range
</t>
    </r>
    <r>
      <rPr>
        <sz val="12"/>
        <rFont val="Arial MT"/>
        <family val="2"/>
      </rPr>
      <t>(lower limit x1, upper limit x2)</t>
    </r>
  </si>
  <si>
    <r>
      <rPr>
        <sz val="12"/>
        <rFont val="Arial MT"/>
        <family val="2"/>
      </rPr>
      <t>Explanation: This problem involves a continuous distribution (Normal) since we are dealing with the weights of apples, which can take on any value within a range. The Normal distribution is commonly used to model continuous variables with a symmetric bell-shaped distribution.</t>
    </r>
  </si>
  <si>
    <r>
      <rPr>
        <sz val="12"/>
        <rFont val="Arial MT"/>
        <family val="2"/>
      </rPr>
      <t xml:space="preserve">2. Problem: The lifetimes of a certain brand of light bulbs are exponentially distributed with a mean of 1000 hours. What is the probability that a randomly selected light bulb lasts more than 900 hours?
</t>
    </r>
    <r>
      <rPr>
        <sz val="12"/>
        <rFont val="Arial MT"/>
        <family val="2"/>
      </rPr>
      <t>Data: Mean lifetime (μ) = 1000 hours, Lifetime threshold (x) = 900 hours</t>
    </r>
  </si>
  <si>
    <r>
      <rPr>
        <sz val="12"/>
        <rFont val="Arial MT"/>
        <family val="2"/>
      </rPr>
      <t>Explanation: Here, we have a continuous distribution (Exponential) since we are interested in the time until an event (light bulb failure) occurs. The Exponential distribution models the probability of waiting a certain amount of time before the event happens.</t>
    </r>
  </si>
  <si>
    <r>
      <rPr>
        <b/>
        <i/>
        <sz val="13"/>
        <rFont val="Arial"/>
        <family val="2"/>
      </rPr>
      <t>Questions on Confidence Interval and Hypothesis Testings</t>
    </r>
  </si>
  <si>
    <r>
      <rPr>
        <b/>
        <i/>
        <sz val="12"/>
        <rFont val="Arial"/>
        <family val="2"/>
      </rPr>
      <t>Confidence Interval Problems</t>
    </r>
    <r>
      <rPr>
        <sz val="12"/>
        <rFont val="Arial MT"/>
        <family val="2"/>
      </rPr>
      <t>:</t>
    </r>
  </si>
  <si>
    <r>
      <rPr>
        <sz val="12"/>
        <rFont val="Arial MT"/>
        <family val="2"/>
      </rPr>
      <t xml:space="preserve">1. Problem: A study is conducted to estimate the mean height of a population. A random sample of 100 individuals is selected, and their heights are measured. Calculate a 95% confidence interval for the population mean height, given that the sample mean height is 170 cm and the sample standard deviation is 8 cm.
</t>
    </r>
    <r>
      <rPr>
        <sz val="12"/>
        <rFont val="Arial MT"/>
        <family val="2"/>
      </rPr>
      <t xml:space="preserve">Data: Sample size (n) = 100, Sample mean (x̄) = 170 cm, Sample standard deviation
</t>
    </r>
    <r>
      <rPr>
        <sz val="12"/>
        <rFont val="Arial MT"/>
        <family val="2"/>
      </rPr>
      <t>(s) = 8 cm, Confidence level = 95%</t>
    </r>
  </si>
  <si>
    <r>
      <rPr>
        <sz val="12"/>
        <rFont val="Arial MT"/>
        <family val="2"/>
      </rPr>
      <t>Explanation: In this problem, we use a sample to estimate the population mean height. By calculating a confidence interval, we provide a range of plausible values for the population mean. The 95% confidence level indicates that we are 95% confident that the true population mean height falls within the calculated interval.</t>
    </r>
  </si>
  <si>
    <r>
      <rPr>
        <sz val="12"/>
        <rFont val="Arial MT"/>
        <family val="2"/>
      </rPr>
      <t xml:space="preserve">2. Problem: A survey is conducted to estimate the proportion of people in a city who support a particular policy. A random sample of 500 individuals is surveyed, and 320 of them express support for the policy. Calculate a 90% confidence interval for the population proportion, given the sample proportion.
</t>
    </r>
    <r>
      <rPr>
        <sz val="12"/>
        <rFont val="Arial MT"/>
        <family val="2"/>
      </rPr>
      <t>Data: Sample size (n) = 500, Number of successes (x) = 320, Confidence level = 90%</t>
    </r>
  </si>
  <si>
    <r>
      <rPr>
        <sz val="12"/>
        <rFont val="Arial MT"/>
        <family val="2"/>
      </rPr>
      <t>Explanation: In this problem, we aim to estimate the population proportion based on the sample proportion. By constructing a confidence interval, we provide a range of plausible values for the population proportion. The 90% confidence level indicates that we are 90% confident that the true population proportion falls within the calculated interval.</t>
    </r>
  </si>
  <si>
    <r>
      <rPr>
        <b/>
        <i/>
        <sz val="12"/>
        <rFont val="Arial"/>
        <family val="2"/>
      </rPr>
      <t>Hypothesis Testing Problems</t>
    </r>
    <r>
      <rPr>
        <sz val="12"/>
        <rFont val="Arial MT"/>
        <family val="2"/>
      </rPr>
      <t>:</t>
    </r>
  </si>
  <si>
    <r>
      <rPr>
        <sz val="12"/>
        <rFont val="Arial MT"/>
        <family val="2"/>
      </rPr>
      <t xml:space="preserve">3. Problem: A researcher wants to test whether a new teaching method improves student performance. A random sample of 50 students is divided into two groups: one group taught using the new method and the other using the traditional method. The average test scores of the two groups are compared. State the null and alternative hypotheses for this study.
</t>
    </r>
    <r>
      <rPr>
        <sz val="12"/>
        <rFont val="Arial MT"/>
        <family val="2"/>
      </rPr>
      <t>Data: Sample size (n) = 50, Test scores of the two groups</t>
    </r>
  </si>
  <si>
    <r>
      <rPr>
        <sz val="12"/>
        <rFont val="Arial MT"/>
        <family val="2"/>
      </rPr>
      <t xml:space="preserve">Explanation: In this problem, we are interested in comparing the means of two groups
</t>
    </r>
    <r>
      <rPr>
        <sz val="12"/>
        <rFont val="Arial MT"/>
        <family val="2"/>
      </rPr>
      <t>(new method vs. traditional method). The null hypothesis (H0) states that there is no</t>
    </r>
  </si>
  <si>
    <r>
      <rPr>
        <sz val="12"/>
        <rFont val="Arial MT"/>
        <family val="2"/>
      </rPr>
      <t xml:space="preserve">significant difference between the means, while the alternative hypothesis (Ha)
</t>
    </r>
    <r>
      <rPr>
        <sz val="12"/>
        <rFont val="Arial MT"/>
        <family val="2"/>
      </rPr>
      <t>suggests that there is a significant difference.</t>
    </r>
  </si>
  <si>
    <r>
      <rPr>
        <sz val="12"/>
        <rFont val="Arial MT"/>
        <family val="2"/>
      </rPr>
      <t xml:space="preserve">4. Problem: A manufacturing company claims that the average weight of its product is 500 grams. To test this claim, a random sample of 25 products is selected, and their weights are measured. The sample mean weight is found to be 510 grams with a sample standard deviation of 20 grams. Perform a hypothesis test to determine if there is evidence to support the company's claim.
</t>
    </r>
    <r>
      <rPr>
        <sz val="12"/>
        <rFont val="Arial MT"/>
        <family val="2"/>
      </rPr>
      <t xml:space="preserve">Data: Sample size (n) = 25, Sample mean (x̄) = 510 grams, Sample standard
</t>
    </r>
    <r>
      <rPr>
        <sz val="12"/>
        <rFont val="Arial MT"/>
        <family val="2"/>
      </rPr>
      <t>deviation (s) = 20 grams, Population mean (μ) = 500 grams</t>
    </r>
  </si>
  <si>
    <r>
      <rPr>
        <sz val="12"/>
        <rFont val="Arial MT"/>
        <family val="2"/>
      </rPr>
      <t>Explanation: In this problem, we are conducting a hypothesis test to assess whether the sample mean weight provides evidence to support the company's claim about the population mean weight. The null hypothesis (H0) assumes that the population mean weight is equal to the claimed value, while the alternative hypothesis (Ha) suggests otherwise.</t>
    </r>
  </si>
  <si>
    <r>
      <rPr>
        <sz val="12"/>
        <rFont val="Calibri"/>
        <family val="1"/>
      </rPr>
      <t xml:space="preserve">whereas this phrase is only used in 1% of non-spam emails. A new email has just arrived,
</t>
    </r>
    <r>
      <rPr>
        <sz val="12"/>
        <rFont val="Calibri"/>
        <family val="1"/>
      </rPr>
      <t>which does mention “free money”. What is the probability that it is spam?</t>
    </r>
  </si>
  <si>
    <r>
      <rPr>
        <sz val="12"/>
        <rFont val="Calibri"/>
        <family val="1"/>
      </rPr>
      <t xml:space="preserve">13. A crime is committed by one of two suspects, A and B. Initially, there is equal evidence against both of them. In further investigation at the crime scene, it is found that the guilty party had a blood type found in 10% of the population. Suspect A does match this blood type, whereas the blood type of Suspect B is unknown. (a) Given this new information, what is the probability that A is the guilty party? (b) Given this new information, what is the
</t>
    </r>
    <r>
      <rPr>
        <sz val="12"/>
        <rFont val="Calibri"/>
        <family val="1"/>
      </rPr>
      <t>probability that B’s blood type matches that found at the crime scene?</t>
    </r>
  </si>
  <si>
    <r>
      <rPr>
        <sz val="12"/>
        <rFont val="Calibri"/>
        <family val="1"/>
      </rPr>
      <t xml:space="preserve">14. You are going to play 2 games of chess with an opponent whom you have never played against before (for the sake of this problem). Your opponent is equally likely to be a beginner, intermediate, or a master. Depending on
</t>
    </r>
    <r>
      <rPr>
        <sz val="12"/>
        <rFont val="Calibri"/>
        <family val="1"/>
      </rPr>
      <t xml:space="preserve">(a) What is your probability of winning the first game?
</t>
    </r>
    <r>
      <rPr>
        <sz val="12"/>
        <rFont val="Calibri"/>
        <family val="1"/>
      </rPr>
      <t xml:space="preserve">(b) Congratulations: you won the first game! Given this information, what is the probability that you will also win the second game
</t>
    </r>
    <r>
      <rPr>
        <sz val="12"/>
        <rFont val="Calibri"/>
        <family val="1"/>
      </rPr>
      <t>(c) Explain the distinction between assuming that the outcomes of the games are independent and assuming that they are conditionally independent given the opponent’s skill level. Which of these assumptions seems more reasonable, and why?</t>
    </r>
  </si>
  <si>
    <t>hyhjy</t>
  </si>
  <si>
    <t>3, 2, 5, 4, 7, 2, 3, 3, 1, 6,
4, 2, 3, 5, 2, 4, 2, 1, 3, 5,
6, 3, 2, 1, 4, 2, 4, 5, 3, 2,
7, 2, 3, 4, 5, 1, 6, 2, 4, 3,
5, 3, 2, 4, 2, 6, 3, 2, 4, 5</t>
  </si>
  <si>
    <t>Incomes: 2.5, 4.8, 3.2, 2.1, 4.5, 2.9, 2.3, 3.1, 4.2, 3.9,
2.8, 4.1, 2.6, 2.4, 4.7, 3.3, 2.7, 3.0, 4.3, 3.7,
2.2, 3.6, 4.0, 2.7, 3.8, 3.5, 3.2, 4.4, 2.0, 3.4,
3.1, 2.9, 4.6, 3.3, 2.5, 4.9, 2.8, 3.0, 4.2, 3.9,
2.8, 4.1, 2.6, 2.4, 4.7, 3.3, 2.7, 3.0, 4.3, 3.7,
2.2, 3.6, 4.0, 2.7, 3.8, 3.5, 3.2, 4.4,2.0,3.4,</t>
  </si>
  <si>
    <t xml:space="preserve">
3.1, 2.9, 4.6, 3.3, 2.5, 4.9, 2.8, 3.0, 4.2, 3.9,
2.8, 4.1, 2.6, 2.4, 4.7, 3.3, 2.7, 3.0, 4.3, 3.7,
2.2, 3.6, 4.0, 2.7, 3.8, 3.5, 3.2, 4.4, 2.0, 3.4,
3.1, 2.9, 4.6, 3.3, 2.5, 4.9</t>
  </si>
  <si>
    <t>380, 385, 390, 395, 400, 405, 410, 415,330,375,
420, 425, 430, 435, 440, 445, 450, 455, 460, 465,
470, 475, 480, 485, 490, 495, 500, 505, 510, 515</t>
  </si>
  <si>
    <t xml:space="preserve">Weights: 55, 60, 62, 65, 68, 70, 72, 75, 78, 80,
82, 85, 88, 90, 92, 95, 100, 105, 110, 115,
120, 125, 130, 135, 140, 145, 150, 155, 160, 165,
170, 175, 180, 185, 190, 195, 200, 205, 210, 215,
220, 225, 230, 235, 240, 245, 250, 255, 260, 265,
270, 275, 280, 285, 290, 295, 300, 305, 310, 315,
320, 325, 330, 335, 340, 345, 350, 355, 360, 365,
</t>
  </si>
  <si>
    <t>Ratings:                                                                                                                                                   4, 5, 3, 4, 4, 3, 2, 5, 4, 3,                                                                                                                                      5, 4, 2, 3, 4, 5, 3, 4, 5, 3,
4, 3, 2, 4, 5, 3, 4, 5, 4, 3,
3, 4, 5, 2, 3, 4, 4, 3, 5, 4,
3, 4, 5, 4, 2, 3, 4, 5, 3, 4,
5, 4, 3, 4, 5, 3, 4, 5, 4, 3,
3, 4, 5, 2, 3, 4, 4, 3, 5, 4,
3, 4, 5, 4, 2, 3, 4, 5, 3, 4,
5, 4, 3, 4, 5, 3, 4, 5, 4, 3,
3, 4, 5, 2, 3, 4, 4, 3, 5, 4</t>
  </si>
  <si>
    <r>
      <rPr>
        <sz val="12"/>
        <rFont val="Calibri"/>
        <family val="1"/>
      </rPr>
      <t xml:space="preserve">15. A chicken lays n eggs. Each egg independently does or doesn’t hatch, with probability p of hatching. For each egg that hatches, the chick does or doesn’t survive (independently of the other eggs), with probability s of survival. Let N </t>
    </r>
    <r>
      <rPr>
        <sz val="12"/>
        <rFont val="Cambria Math"/>
        <family val="1"/>
      </rPr>
      <t xml:space="preserve">⇠ </t>
    </r>
    <r>
      <rPr>
        <sz val="12"/>
        <rFont val="Calibri"/>
        <family val="1"/>
      </rPr>
      <t xml:space="preserve">Bin(n, p) be the number of eggs which hatch, X be the number of chicks which survive, and Y be the number of chicks which hatch but don’t survive (so X + Y = N). Find the marginal PMF of X, and the joint PMF of X and Y .
Are they independent </t>
    </r>
  </si>
  <si>
    <t xml:space="preserve"> </t>
  </si>
  <si>
    <t>Units</t>
  </si>
  <si>
    <t xml:space="preserve">Week </t>
  </si>
  <si>
    <t>Question 1</t>
  </si>
  <si>
    <t>Question 2</t>
  </si>
  <si>
    <t xml:space="preserve">Mean </t>
  </si>
  <si>
    <t>Median</t>
  </si>
  <si>
    <t>Mode</t>
  </si>
  <si>
    <t>Wating Time (in minutes)</t>
  </si>
  <si>
    <t>Mean</t>
  </si>
  <si>
    <t>Meadian</t>
  </si>
  <si>
    <t>Question 3</t>
  </si>
  <si>
    <t>Rental Durations (in days)</t>
  </si>
  <si>
    <t>Day 2</t>
  </si>
  <si>
    <t>Variance</t>
  </si>
  <si>
    <t>Days</t>
  </si>
  <si>
    <t>Day 1</t>
  </si>
  <si>
    <t>Day 3</t>
  </si>
  <si>
    <t>Day 4</t>
  </si>
  <si>
    <t>Day 6</t>
  </si>
  <si>
    <t>Day 7</t>
  </si>
  <si>
    <t>Day 8</t>
  </si>
  <si>
    <t>Day 9</t>
  </si>
  <si>
    <t>Day 10</t>
  </si>
  <si>
    <t xml:space="preserve">Daily Sales </t>
  </si>
  <si>
    <t xml:space="preserve">Range </t>
  </si>
  <si>
    <t xml:space="preserve">Question 3 </t>
  </si>
  <si>
    <t>Delivery Time( in days)</t>
  </si>
  <si>
    <t>Question 4</t>
  </si>
  <si>
    <t>Monthly Revenue</t>
  </si>
  <si>
    <t>Range</t>
  </si>
  <si>
    <t>Question 5</t>
  </si>
  <si>
    <t>Satisfaction Rating</t>
  </si>
  <si>
    <t>S. Deviation</t>
  </si>
  <si>
    <t xml:space="preserve">Average </t>
  </si>
  <si>
    <t>S.Deviation</t>
  </si>
  <si>
    <t xml:space="preserve">S. Deviation </t>
  </si>
  <si>
    <t>Average</t>
  </si>
  <si>
    <t>Question 6</t>
  </si>
  <si>
    <t>Waiting Time (in minute)</t>
  </si>
  <si>
    <t>Question 7</t>
  </si>
  <si>
    <t>Model A</t>
  </si>
  <si>
    <t>Model B</t>
  </si>
  <si>
    <t>Model C</t>
  </si>
  <si>
    <t>Model D</t>
  </si>
  <si>
    <t>Model E</t>
  </si>
  <si>
    <t xml:space="preserve"> 30, 32, 33, 28, 31, 30, 29, 30, 32, 31,
 25, 27, 26, 23, 28, 24, 26, 25, 27, 28,
 22, 23, 20, 25, 21, 24, 23, 22, 25, 24,
 18, 17, 19, 20, 21, 18, 19, 17, 20, 19,
 35, 36, 34, 35, 33, 34, 32, 33, 36, 34</t>
  </si>
  <si>
    <t xml:space="preserve">Fuel Efficiency of each model </t>
  </si>
  <si>
    <t>Day 1: 120 units
Day 2: 110 units
Day 3: 130 units
Day 4: 115 units
Day 5: 125 units
Day 6: 105 units
Day 7: 135 units
Day 8: 115 units
Day 9: 125 units
Day 10: 140 units</t>
  </si>
  <si>
    <t xml:space="preserve">Day 5 </t>
  </si>
  <si>
    <t>Question 8</t>
  </si>
  <si>
    <t>Age</t>
  </si>
  <si>
    <t xml:space="preserve">Mode </t>
  </si>
  <si>
    <t>Question 9</t>
  </si>
  <si>
    <t>Purchase Amount</t>
  </si>
  <si>
    <t>IQR</t>
  </si>
  <si>
    <t>Defect Type</t>
  </si>
  <si>
    <t>A</t>
  </si>
  <si>
    <t>B</t>
  </si>
  <si>
    <t>C</t>
  </si>
  <si>
    <t>D</t>
  </si>
  <si>
    <t>E</t>
  </si>
  <si>
    <t>F</t>
  </si>
  <si>
    <t>G</t>
  </si>
  <si>
    <t>Bar Chart</t>
  </si>
  <si>
    <t>Histrogram</t>
  </si>
  <si>
    <t>Question 11</t>
  </si>
  <si>
    <t>Sales</t>
  </si>
  <si>
    <t>Frequency Distribution Table</t>
  </si>
  <si>
    <t>median</t>
  </si>
  <si>
    <t xml:space="preserve">Frequency  Distribution Table </t>
  </si>
  <si>
    <t xml:space="preserve"> Amount</t>
  </si>
  <si>
    <t>count</t>
  </si>
  <si>
    <t xml:space="preserve">Question 10 </t>
  </si>
  <si>
    <t>frequency</t>
  </si>
  <si>
    <t xml:space="preserve">Bar Chart </t>
  </si>
  <si>
    <t>Question12</t>
  </si>
  <si>
    <t>Question 13</t>
  </si>
  <si>
    <t>Response Times: 125, 148, 137, 120, 135, 132, 145, 122, 130, 141,
118, 125, 132, 136, 128, 123, 132, 138, 126, 129,
136, 127, 130, 122, 125, 133, 140, 126, 133, 135,
130, 134, 141, 119, 125, 131, 136, 128, 124, 132,
136, 127, 130, 122, 125, 133, 140, 126, 133, 135,
130, 134, 141, 119, 125, 131, 136, 128, 124, 132,
136, 127, 130, 122, 125, 133, 140, 126, 133, 135,
130, 134, 141, 119, 125, 131, 136, 128, 124, 132,
136, 127, 130, 122, 125, 133, 140, 126, 133, 135,
130, 134, 141, 119, 125, 131, 136, 128, 124, 132</t>
  </si>
  <si>
    <t>Response Times</t>
  </si>
  <si>
    <t xml:space="preserve"> Histrogram </t>
  </si>
  <si>
    <t>Region 1</t>
  </si>
  <si>
    <t xml:space="preserve"> Region 2</t>
  </si>
  <si>
    <t xml:space="preserve"> Region 3</t>
  </si>
  <si>
    <t>Question 14</t>
  </si>
  <si>
    <t>Region 2</t>
  </si>
  <si>
    <t>Region 3</t>
  </si>
  <si>
    <t>Range of Sales For Each Region</t>
  </si>
  <si>
    <t>Average of sales for each region</t>
  </si>
  <si>
    <t>Returns</t>
  </si>
  <si>
    <t>Skewness</t>
  </si>
  <si>
    <t>Kurtosis</t>
  </si>
  <si>
    <t>Income</t>
  </si>
  <si>
    <r>
      <t xml:space="preserve">A </t>
    </r>
    <r>
      <rPr>
        <b/>
        <sz val="10"/>
        <color rgb="FF000000"/>
        <rFont val="Times New Roman"/>
        <family val="1"/>
      </rPr>
      <t>negative skewness</t>
    </r>
    <r>
      <rPr>
        <sz val="10"/>
        <color rgb="FF000000"/>
        <rFont val="Times New Roman"/>
        <family val="1"/>
      </rPr>
      <t xml:space="preserve"> value indicates a </t>
    </r>
    <r>
      <rPr>
        <b/>
        <sz val="10"/>
        <color rgb="FF000000"/>
        <rFont val="Times New Roman"/>
        <family val="1"/>
      </rPr>
      <t>slight left skew</t>
    </r>
    <r>
      <rPr>
        <sz val="10"/>
        <color rgb="FF000000"/>
        <rFont val="Times New Roman"/>
        <family val="1"/>
      </rPr>
      <t xml:space="preserve"> (the left tail is longer</t>
    </r>
  </si>
  <si>
    <t>)</t>
  </si>
  <si>
    <t>Interpretion</t>
  </si>
  <si>
    <t xml:space="preserve">Interpretion </t>
  </si>
  <si>
    <r>
      <t xml:space="preserve">A </t>
    </r>
    <r>
      <rPr>
        <b/>
        <sz val="10"/>
        <color rgb="FF000000"/>
        <rFont val="Times New Roman"/>
        <family val="1"/>
      </rPr>
      <t>positive skewness</t>
    </r>
    <r>
      <rPr>
        <sz val="10"/>
        <color rgb="FF000000"/>
        <rFont val="Times New Roman"/>
        <family val="1"/>
      </rPr>
      <t xml:space="preserve"> value indicates a </t>
    </r>
    <r>
      <rPr>
        <b/>
        <sz val="10"/>
        <color rgb="FF000000"/>
        <rFont val="Times New Roman"/>
        <family val="1"/>
      </rPr>
      <t>slight right skew</t>
    </r>
  </si>
  <si>
    <t>(the right tail is longer).</t>
  </si>
  <si>
    <t>Kurtosis is less than 3 , this indicates a platy kurtic distribution.</t>
  </si>
  <si>
    <t xml:space="preserve">Ratings </t>
  </si>
  <si>
    <r>
      <t xml:space="preserve">A </t>
    </r>
    <r>
      <rPr>
        <b/>
        <sz val="10"/>
        <color rgb="FF000000"/>
        <rFont val="Times New Roman"/>
        <family val="1"/>
      </rPr>
      <t>negative skewness</t>
    </r>
    <r>
      <rPr>
        <sz val="10"/>
        <color rgb="FF000000"/>
        <rFont val="Times New Roman"/>
        <family val="1"/>
      </rPr>
      <t xml:space="preserve"> value indicates a </t>
    </r>
    <r>
      <rPr>
        <b/>
        <sz val="10"/>
        <color rgb="FF000000"/>
        <rFont val="Times New Roman"/>
        <family val="1"/>
      </rPr>
      <t>slight left skew</t>
    </r>
    <r>
      <rPr>
        <sz val="10"/>
        <color rgb="FF000000"/>
        <rFont val="Times New Roman"/>
        <family val="1"/>
      </rPr>
      <t xml:space="preserve"> (the left tail is longer).</t>
    </r>
  </si>
  <si>
    <t>House Prices</t>
  </si>
  <si>
    <t>Interpretation</t>
  </si>
  <si>
    <t>Waiting time</t>
  </si>
  <si>
    <t>Salary</t>
  </si>
  <si>
    <t>Quartile 1</t>
  </si>
  <si>
    <t>Quartile 2</t>
  </si>
  <si>
    <t>Quartile 3</t>
  </si>
  <si>
    <t>10th</t>
  </si>
  <si>
    <t>25th</t>
  </si>
  <si>
    <t>75th</t>
  </si>
  <si>
    <t>90th</t>
  </si>
  <si>
    <t>Percentile           .</t>
  </si>
  <si>
    <t xml:space="preserve">Question 2 </t>
  </si>
  <si>
    <t>Weights</t>
  </si>
  <si>
    <t xml:space="preserve">Quartile 1 </t>
  </si>
  <si>
    <t xml:space="preserve">Quartile  2 </t>
  </si>
  <si>
    <t xml:space="preserve">Percentile </t>
  </si>
  <si>
    <t>15th</t>
  </si>
  <si>
    <t>50th</t>
  </si>
  <si>
    <t>85th</t>
  </si>
  <si>
    <t xml:space="preserve">Purchase Amount </t>
  </si>
  <si>
    <t>20th</t>
  </si>
  <si>
    <t>40th</t>
  </si>
  <si>
    <t>80th</t>
  </si>
  <si>
    <t xml:space="preserve">Question 4 </t>
  </si>
  <si>
    <t xml:space="preserve">Travelling time </t>
  </si>
  <si>
    <t xml:space="preserve">Quartile 2 </t>
  </si>
  <si>
    <t>30th</t>
  </si>
  <si>
    <t>70th</t>
  </si>
  <si>
    <t xml:space="preserve">Question 5 </t>
  </si>
  <si>
    <t xml:space="preserve"> 1.0 0.6</t>
  </si>
  <si>
    <t xml:space="preserve"> 0.9 0.4</t>
  </si>
  <si>
    <t>Defects</t>
  </si>
  <si>
    <t>Advertising Expenditure</t>
  </si>
  <si>
    <t>Sales Revenue</t>
  </si>
  <si>
    <t>Company A</t>
  </si>
  <si>
    <t>Company B</t>
  </si>
  <si>
    <t>Hours Spent Studying</t>
  </si>
  <si>
    <t>Exam Scores</t>
  </si>
  <si>
    <t>Discrete  Distribution</t>
  </si>
  <si>
    <t>1. Problem: A fair six-sided die is rolled 100 times. What is the probability of rolling exactly five 3's? Data: Number of rolls (n) = 100</t>
  </si>
  <si>
    <t xml:space="preserve"> Continuous Random Variable:</t>
  </si>
  <si>
    <t xml:space="preserve"> 2. Problem: The waiting times at a coffee shop are exponentially distributed with a mean
 of 5 minutes. What is the probability that a  customer waits less than 3 minutes?
 Data: Mean waiting time (μ) = 5 minutes, Waiting time threshold (x) = 3 minutes</t>
  </si>
  <si>
    <t xml:space="preserve"> 3. Problem: A multiple-choice test consists of 10 questions, each with four possible
 answers. If a student randomly guesses  on each question, what is the probability of
 getting at least 8 questions correct?
 Data: Number of questions (n) = 10, Number of possible answers per question (k) = 4</t>
  </si>
  <si>
    <t xml:space="preserve"> 2. Problem: In a deck of 52 playing cards, five cards are randomly drawn without
 replacement. What is the probability of getting two hearts?  Data: Number of hearts in the deck (N) = 13, Number of cards drawn (n) = 5</t>
  </si>
  <si>
    <t xml:space="preserve"> 4. Problem: A bag contains 30 red balls, 20 blue balls, and 10 green balls. Three balls
 are drawn without replacement. What is the probability that all three balls are blue?
 Data: Number of blue balls in the bag (N) = 20, Number of balls drawn (n) = 3</t>
  </si>
  <si>
    <t xml:space="preserve"> 5. Problem: In a football match, a player scores a goal with a 0.3 probability per shot. If
 the player takes 10 shots, what is the probability of scoring exactly three goals?
 Data: Number of shots (n) = 10, Probability of scoring per shot (p) = 0.3</t>
  </si>
  <si>
    <t xml:space="preserve"> 1. Problem: The heights of students in a class are normally distributed with a mean of
 165 cm and a standard deviation of 10 cm. What is the probability that a randomly
 selected student is taller than 180 cm?
 Data: Mean height (μ) = 165 cm, Standard deviation (σ) = 10 cm, Height threshold (x)
 = 180 cm</t>
  </si>
  <si>
    <t xml:space="preserve"> 3. Problem: The lifetimes of a certain brand of light bulbs are normally distributed with a
 mean of 1000 hours and a standard deviation of 100 hours. What is the probability that
 a randomly selected light bulb lasts between 900 and 1100 hours?
Data: Mean lifetime (μ) = 1000 hours, Standard deviation (σ) = 100 hours, Lifetime
 range (lower limit x1, upper limit x2)</t>
  </si>
  <si>
    <t xml:space="preserve"> 4. Problem: The weights of apples in a basket follow a uniform distribution between 100
 grams and 200 grams. What is the probability that a randomly selected apple weighs
 between 150 and 170 grams?
 Data: Weight range (lower limit x1, upper limit x2)</t>
  </si>
  <si>
    <t xml:space="preserve"> 5. Problem: The time taken to complete a task is exponentially distributed with a mean
 of 20 minutes. What is the probability that the task is completed in less than 15
 minutes?
 Data: Mean time (μ) = 20 minutes, Time threshold (x) = 15 minutes</t>
  </si>
  <si>
    <t>Discrete Distribution:</t>
  </si>
  <si>
    <t>2. Problem: In a game, a player has a 0.3 probability of winning each round. If the player plays 10 rounds, what is the probability of winning exactly 3 rounds? Data: Probability of winning (p) = 0.3, Number of rounds (n) = 10, Number of wins (x)
 = 3</t>
  </si>
  <si>
    <t>3. Problem: A six-sided fair die is rolled three times. What is the probability of obtaining at least one 6? Data: Number of rolls (n) = 3</t>
  </si>
  <si>
    <t>Continuous Distribution:</t>
  </si>
  <si>
    <t xml:space="preserve"> 1. Problem: The weights of apples in a basket follow a normal distribution with a mean
 of 150 grams and a standard deviation of 10 grams. What is the probability that a
 randomly selected apple weighs between 140 and 160 grams?
 Data: Mean weight (μ) = 150 grams, Standard deviation (σ) = 10 grams, Weight range
 (lower limit x1, upper limit x2)</t>
  </si>
  <si>
    <t xml:space="preserve">2. Problem: The lifetimes of a certain brand of light bulbs are exponentially distributed with a mean of 1000 hours. What is the probability that a randomly selected light  bulb
 lasts more than 900 hours?
 Data: Mean lifetime (μ) = 1000 hours, Lifetime threshold (x) = 900 hours </t>
  </si>
  <si>
    <t>1. Problem: A company sells smartphones, and the number of defects per batch follows a Poisson distribution with a mean of 2 defects.What is the probability of having exactly  3 defects in a randomly selected batch?
 Data: Mean number of defects (λ) = 2, Number of defects (x) = 3</t>
  </si>
  <si>
    <t>Confidence Interval Problems:</t>
  </si>
  <si>
    <t xml:space="preserve">1. Problem: A study is conducted to estimate the mean height of a population. A random sample of 100 individuals is selected, and their heights are measured. Calculate a 95% confidence interval for the population mean height, given that the sample mean height is
 170 cm and the sample standard deviation is 8 cm.
 Data: Sample size (n) = 100, Sample mean (x) = 170 cm, Sample standard deviation
 (s) = 8 cm, Confidence level = 95%
 </t>
  </si>
  <si>
    <t xml:space="preserve"> 2. Problem: A survey is conducted to estimate the proportion of people in a city who
 support a particular policy. A random sample of 500 individuals is surveyed, and 320 of
 them express support for the policy. Calculate a 90% confidence interval for the
 population proportion, given the sample proportion.
 Data: Sample size (n) = 500, Number of successes (x) = 320, Confidence level = 90%</t>
  </si>
  <si>
    <t>Hypothesis Testing Problems:</t>
  </si>
  <si>
    <t>3. Problem: A researcher wants to test whether a new teaching method improves
 student performance.A random sample of 50 students is divided into two groups: one
 group taught using the new method and the other using the traditional method. The
 average test scores of the two groups are compared. State the null and alternative
 hypotheses for this study.
 Data: Sample size (n) = 50, Test scores of the two groups</t>
  </si>
  <si>
    <t>4. Problem: A manufacturing company claims that the average weight of its product is 500 grams. To test this claim, a random sample of 25 products is selected, and their
 weights are measured.  The sample mean weight is found to be 510 grams with a
 sample standard deviation of 20 grams. Perform a hypothesis test to determine if there
 is evidence to support the company's claim.
 Data: Sample size (n) = 25, Sample mean (x̄ ) = 510 grams, Sample standard
 deviation (s) = 20 grams, Population mean (μ) = 500 grams</t>
  </si>
  <si>
    <t>sample size:500</t>
  </si>
  <si>
    <t>no. of success:320</t>
  </si>
  <si>
    <t>confidence level : 90%</t>
  </si>
  <si>
    <t>mean:</t>
  </si>
  <si>
    <t>standard deviation :</t>
  </si>
  <si>
    <t xml:space="preserve">Random sample of 50 students divided into 2 groups </t>
  </si>
  <si>
    <t>sample size : 50</t>
  </si>
  <si>
    <t>Traditional Method</t>
  </si>
  <si>
    <t>New  Method</t>
  </si>
  <si>
    <t>Hypothesis</t>
  </si>
  <si>
    <t>H0 = X1=X2</t>
  </si>
  <si>
    <t>H1=X1# X2</t>
  </si>
  <si>
    <t>Null Hypothesis</t>
  </si>
  <si>
    <t>Alternate Hypothesis</t>
  </si>
  <si>
    <t>t-Test: Paired Two Sample for Means</t>
  </si>
  <si>
    <t>Observations</t>
  </si>
  <si>
    <t>Pearson Correlation</t>
  </si>
  <si>
    <t>Hypothesized Mean Difference</t>
  </si>
  <si>
    <t>df</t>
  </si>
  <si>
    <t>t Stat</t>
  </si>
  <si>
    <t>P(T&lt;=t) one-tail</t>
  </si>
  <si>
    <t>t Critical one-tail</t>
  </si>
  <si>
    <t>P(T&lt;=t) two-tail</t>
  </si>
  <si>
    <t>t Critical two-tail</t>
  </si>
  <si>
    <t>Summary</t>
  </si>
  <si>
    <t>T Critical</t>
  </si>
  <si>
    <t>T State</t>
  </si>
  <si>
    <t xml:space="preserve">P Value </t>
  </si>
  <si>
    <t>Alpha</t>
  </si>
  <si>
    <t>&gt;</t>
  </si>
  <si>
    <t>=</t>
  </si>
  <si>
    <t>We fail to reject null hypothesis.</t>
  </si>
  <si>
    <t>Conclusion</t>
  </si>
  <si>
    <t>There is no significant difference in average test scores of New Methods and Traditional Methods</t>
  </si>
  <si>
    <t>H0 = X=500</t>
  </si>
  <si>
    <t>H1 =X#500</t>
  </si>
  <si>
    <t>Alter nate Hypothesis</t>
  </si>
  <si>
    <t>Products Weight</t>
  </si>
  <si>
    <t>Dummy</t>
  </si>
  <si>
    <t>Sample size: 25</t>
  </si>
  <si>
    <t>sample mean: 510</t>
  </si>
  <si>
    <t>sample standard deviation:20</t>
  </si>
  <si>
    <t>population mean:500</t>
  </si>
  <si>
    <t>Since the P-Value (0.1301) is much greater than the significance level Aplha = 0.05,and the T-Statistic falls within the acceptance Region, So we fail to reject the. Null Hyphothesis.</t>
  </si>
  <si>
    <t>T critical</t>
  </si>
  <si>
    <t>T state</t>
  </si>
  <si>
    <t>P value</t>
  </si>
  <si>
    <t>&lt;</t>
  </si>
  <si>
    <t>We reject null hypothesis.</t>
  </si>
  <si>
    <t xml:space="preserve">Since our P value is less than alpha value (0.023&lt;0.05) so we reject null hypothesis and we conclude that there is a significance difference between both groups.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</si>
</sst>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rgb="FF000000"/>
      <name val="Times New Roman"/>
      <charset val="204"/>
    </font>
    <font>
      <b/>
      <sz val="13"/>
      <name val="Arial"/>
    </font>
    <font>
      <b/>
      <i/>
      <sz val="11"/>
      <name val="Arial"/>
    </font>
    <font>
      <sz val="11"/>
      <name val="Arial MT"/>
    </font>
    <font>
      <sz val="12"/>
      <name val="Arial MT"/>
    </font>
    <font>
      <b/>
      <i/>
      <sz val="13"/>
      <name val="Arial"/>
    </font>
    <font>
      <b/>
      <sz val="14"/>
      <name val="Calibri"/>
    </font>
    <font>
      <sz val="18"/>
      <name val="Arial MT"/>
    </font>
    <font>
      <sz val="12"/>
      <name val="Candara"/>
    </font>
    <font>
      <sz val="16"/>
      <name val="Calibri"/>
    </font>
    <font>
      <b/>
      <sz val="13"/>
      <name val="Arial"/>
      <family val="2"/>
    </font>
    <font>
      <b/>
      <i/>
      <sz val="11"/>
      <name val="Arial"/>
      <family val="2"/>
    </font>
    <font>
      <sz val="11"/>
      <name val="Arial MT"/>
      <family val="2"/>
    </font>
    <font>
      <b/>
      <i/>
      <sz val="12"/>
      <name val="Arial"/>
      <family val="2"/>
    </font>
    <font>
      <sz val="12"/>
      <name val="Arial MT"/>
      <family val="2"/>
    </font>
    <font>
      <b/>
      <i/>
      <sz val="13"/>
      <name val="Arial"/>
      <family val="2"/>
    </font>
    <font>
      <sz val="12"/>
      <name val="Calibri"/>
      <family val="1"/>
    </font>
    <font>
      <sz val="12"/>
      <name val="Cambria Math"/>
      <family val="1"/>
    </font>
    <font>
      <sz val="8"/>
      <name val="Times New Roman"/>
      <charset val="204"/>
    </font>
    <font>
      <sz val="12"/>
      <name val="Times New Roman"/>
      <family val="1"/>
      <charset val="204"/>
    </font>
    <font>
      <sz val="16"/>
      <color rgb="FF000000"/>
      <name val="Times New Roman"/>
      <family val="1"/>
    </font>
    <font>
      <sz val="16"/>
      <name val="Times New Roman"/>
      <family val="1"/>
    </font>
    <font>
      <sz val="10"/>
      <color rgb="FF000000"/>
      <name val="Times New Roman"/>
      <family val="1"/>
    </font>
    <font>
      <sz val="8"/>
      <name val="Times New Roman"/>
      <family val="1"/>
    </font>
    <font>
      <sz val="14"/>
      <name val="Times New Roman"/>
      <family val="1"/>
    </font>
    <font>
      <sz val="14"/>
      <color rgb="FF000000"/>
      <name val="Times New Roman"/>
      <family val="1"/>
    </font>
    <font>
      <sz val="12"/>
      <color rgb="FF000000"/>
      <name val="Times New Roman"/>
      <family val="1"/>
    </font>
    <font>
      <b/>
      <sz val="10"/>
      <color rgb="FF000000"/>
      <name val="Times New Roman"/>
      <family val="1"/>
    </font>
    <font>
      <sz val="10"/>
      <name val="Times New Roman"/>
      <family val="1"/>
    </font>
    <font>
      <i/>
      <sz val="10"/>
      <color rgb="FF000000"/>
      <name val="Times New Roman"/>
      <family val="1"/>
    </font>
  </fonts>
  <fills count="16">
    <fill>
      <patternFill patternType="none"/>
    </fill>
    <fill>
      <patternFill patternType="gray125"/>
    </fill>
    <fill>
      <patternFill patternType="solid">
        <fgColor rgb="FF00008A"/>
      </patternFill>
    </fill>
    <fill>
      <patternFill patternType="solid">
        <fgColor rgb="FFFFFF00"/>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C000"/>
        <bgColor indexed="64"/>
      </patternFill>
    </fill>
    <fill>
      <patternFill patternType="solid">
        <fgColor theme="6" tint="-0.249977111117893"/>
        <bgColor indexed="64"/>
      </patternFill>
    </fill>
    <fill>
      <patternFill patternType="solid">
        <fgColor theme="3" tint="0.79998168889431442"/>
        <bgColor indexed="64"/>
      </patternFill>
    </fill>
    <fill>
      <patternFill patternType="solid">
        <fgColor rgb="FF92D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116">
    <xf numFmtId="0" fontId="0" fillId="0" borderId="0" xfId="0" applyAlignment="1">
      <alignment horizontal="left" vertical="top"/>
    </xf>
    <xf numFmtId="0" fontId="9" fillId="2" borderId="0" xfId="0" applyFont="1" applyFill="1" applyAlignment="1">
      <alignment horizontal="left" vertical="top" wrapText="1"/>
    </xf>
    <xf numFmtId="0" fontId="0" fillId="0" borderId="0" xfId="0" applyAlignment="1">
      <alignment horizontal="left" vertical="top" wrapText="1" indent="5"/>
    </xf>
    <xf numFmtId="0" fontId="3" fillId="0" borderId="0" xfId="0" applyFont="1" applyAlignment="1">
      <alignment horizontal="left" vertical="top" wrapText="1" indent="5"/>
    </xf>
    <xf numFmtId="0" fontId="0" fillId="3" borderId="0" xfId="0" applyFill="1" applyAlignment="1">
      <alignment horizontal="right" vertical="center" wrapText="1"/>
    </xf>
    <xf numFmtId="0" fontId="3" fillId="3" borderId="0" xfId="0" applyFont="1" applyFill="1" applyAlignment="1">
      <alignment horizontal="left" vertical="top" wrapText="1" indent="5"/>
    </xf>
    <xf numFmtId="0" fontId="3" fillId="3" borderId="0" xfId="0" applyFont="1" applyFill="1" applyAlignment="1">
      <alignment horizontal="right" vertical="center" wrapText="1"/>
    </xf>
    <xf numFmtId="0" fontId="0" fillId="3" borderId="0" xfId="0" applyFill="1" applyAlignment="1">
      <alignment horizontal="left" vertical="top" wrapText="1" indent="5"/>
    </xf>
    <xf numFmtId="0" fontId="0" fillId="0" borderId="1" xfId="0" applyBorder="1" applyAlignment="1">
      <alignment horizontal="left" vertical="top"/>
    </xf>
    <xf numFmtId="0" fontId="24" fillId="4" borderId="0" xfId="0" applyFont="1" applyFill="1" applyAlignment="1">
      <alignment horizontal="left" vertical="top"/>
    </xf>
    <xf numFmtId="0" fontId="22" fillId="0" borderId="0" xfId="0" applyFont="1" applyAlignment="1">
      <alignment horizontal="left" vertical="top"/>
    </xf>
    <xf numFmtId="0" fontId="0" fillId="5" borderId="1" xfId="0" applyFill="1" applyBorder="1" applyAlignment="1">
      <alignment horizontal="left" vertical="top"/>
    </xf>
    <xf numFmtId="0" fontId="25" fillId="5" borderId="1" xfId="0" applyFont="1" applyFill="1" applyBorder="1" applyAlignment="1">
      <alignment horizontal="left" vertical="top"/>
    </xf>
    <xf numFmtId="0" fontId="25" fillId="0" borderId="1" xfId="0" applyFont="1" applyBorder="1" applyAlignment="1">
      <alignment horizontal="left" vertical="top"/>
    </xf>
    <xf numFmtId="0" fontId="25" fillId="6" borderId="0" xfId="0" applyFont="1" applyFill="1" applyAlignment="1">
      <alignment horizontal="left" vertical="top"/>
    </xf>
    <xf numFmtId="0" fontId="22" fillId="0" borderId="1" xfId="0" applyFont="1" applyBorder="1" applyAlignment="1">
      <alignment horizontal="left" vertical="top"/>
    </xf>
    <xf numFmtId="0" fontId="0" fillId="0" borderId="6" xfId="0" applyBorder="1" applyAlignment="1">
      <alignment horizontal="left" vertical="top"/>
    </xf>
    <xf numFmtId="0" fontId="25" fillId="0" borderId="3" xfId="0" applyFont="1" applyBorder="1" applyAlignment="1">
      <alignment horizontal="left" vertical="top"/>
    </xf>
    <xf numFmtId="0" fontId="25" fillId="7" borderId="1" xfId="0" applyFont="1" applyFill="1" applyBorder="1" applyAlignment="1">
      <alignment horizontal="center" vertical="top"/>
    </xf>
    <xf numFmtId="0" fontId="25" fillId="4" borderId="0" xfId="0" applyFont="1" applyFill="1" applyAlignment="1">
      <alignment horizontal="left" vertical="top"/>
    </xf>
    <xf numFmtId="0" fontId="25" fillId="8" borderId="0" xfId="0" applyFont="1" applyFill="1" applyAlignment="1">
      <alignment horizontal="left" vertical="top"/>
    </xf>
    <xf numFmtId="0" fontId="0" fillId="8" borderId="0" xfId="0" applyFill="1" applyAlignment="1">
      <alignment horizontal="left" vertical="top"/>
    </xf>
    <xf numFmtId="0" fontId="25" fillId="0" borderId="0" xfId="0" applyFont="1" applyAlignment="1">
      <alignment horizontal="left" vertical="top"/>
    </xf>
    <xf numFmtId="0" fontId="25" fillId="8" borderId="1" xfId="0" applyFont="1" applyFill="1" applyBorder="1" applyAlignment="1">
      <alignment horizontal="left" vertical="top"/>
    </xf>
    <xf numFmtId="0" fontId="25" fillId="5" borderId="6" xfId="0" applyFont="1" applyFill="1" applyBorder="1" applyAlignment="1">
      <alignment horizontal="left" vertical="top"/>
    </xf>
    <xf numFmtId="0" fontId="25" fillId="7" borderId="1" xfId="0" applyFont="1" applyFill="1" applyBorder="1" applyAlignment="1">
      <alignment horizontal="left" vertical="top"/>
    </xf>
    <xf numFmtId="0" fontId="25" fillId="8" borderId="7" xfId="0" applyFont="1" applyFill="1" applyBorder="1" applyAlignment="1">
      <alignment horizontal="left" vertical="top"/>
    </xf>
    <xf numFmtId="0" fontId="25" fillId="8" borderId="2" xfId="0" applyFont="1" applyFill="1" applyBorder="1" applyAlignment="1">
      <alignment horizontal="center"/>
    </xf>
    <xf numFmtId="0" fontId="26" fillId="5" borderId="0" xfId="0" applyFont="1" applyFill="1" applyAlignment="1">
      <alignment horizontal="left" vertical="top"/>
    </xf>
    <xf numFmtId="0" fontId="22" fillId="7" borderId="1" xfId="0" applyFont="1" applyFill="1" applyBorder="1" applyAlignment="1">
      <alignment horizontal="left" vertical="top"/>
    </xf>
    <xf numFmtId="0" fontId="25" fillId="0" borderId="6" xfId="0" applyFont="1" applyBorder="1" applyAlignment="1">
      <alignment horizontal="left" vertical="top"/>
    </xf>
    <xf numFmtId="0" fontId="22" fillId="4" borderId="0" xfId="0" applyFont="1" applyFill="1" applyAlignment="1">
      <alignment horizontal="left" vertical="top"/>
    </xf>
    <xf numFmtId="0" fontId="22" fillId="5" borderId="1" xfId="0" applyFont="1" applyFill="1" applyBorder="1" applyAlignment="1">
      <alignment horizontal="left" vertical="top"/>
    </xf>
    <xf numFmtId="0" fontId="22" fillId="8" borderId="0" xfId="0" applyFont="1" applyFill="1" applyAlignment="1">
      <alignment horizontal="left" vertical="top"/>
    </xf>
    <xf numFmtId="0" fontId="22" fillId="8" borderId="1" xfId="0" applyFont="1" applyFill="1" applyBorder="1" applyAlignment="1">
      <alignment horizontal="left" vertical="top"/>
    </xf>
    <xf numFmtId="0" fontId="0" fillId="4" borderId="0" xfId="0" applyFill="1" applyAlignment="1">
      <alignment horizontal="left" vertical="top"/>
    </xf>
    <xf numFmtId="0" fontId="0" fillId="7" borderId="1" xfId="0" applyFill="1" applyBorder="1" applyAlignment="1">
      <alignment horizontal="left" vertical="top"/>
    </xf>
    <xf numFmtId="0" fontId="25" fillId="7" borderId="0" xfId="0" applyFont="1" applyFill="1" applyAlignment="1">
      <alignment horizontal="left" vertical="top"/>
    </xf>
    <xf numFmtId="0" fontId="22" fillId="7" borderId="0" xfId="0" applyFont="1" applyFill="1" applyAlignment="1">
      <alignment horizontal="left" vertical="top"/>
    </xf>
    <xf numFmtId="0" fontId="22" fillId="5" borderId="1" xfId="0" applyFont="1" applyFill="1" applyBorder="1" applyAlignment="1">
      <alignment horizontal="left" vertical="top" wrapText="1"/>
    </xf>
    <xf numFmtId="0" fontId="22" fillId="9" borderId="1" xfId="0" applyFont="1" applyFill="1" applyBorder="1" applyAlignment="1">
      <alignment horizontal="left" vertical="top"/>
    </xf>
    <xf numFmtId="0" fontId="0" fillId="9" borderId="1" xfId="0" applyFill="1" applyBorder="1" applyAlignment="1">
      <alignment horizontal="left" vertical="top"/>
    </xf>
    <xf numFmtId="0" fontId="0" fillId="7" borderId="0" xfId="0" applyFill="1" applyAlignment="1">
      <alignment horizontal="left" vertical="top"/>
    </xf>
    <xf numFmtId="0" fontId="0" fillId="5" borderId="0" xfId="0" applyFill="1" applyAlignment="1">
      <alignment horizontal="left" vertical="top"/>
    </xf>
    <xf numFmtId="0" fontId="28" fillId="10" borderId="0" xfId="0" applyFont="1" applyFill="1" applyAlignment="1">
      <alignment horizontal="left" vertical="top"/>
    </xf>
    <xf numFmtId="0" fontId="0" fillId="11" borderId="1" xfId="0" applyFill="1" applyBorder="1" applyAlignment="1">
      <alignment horizontal="left" vertical="top" indent="2"/>
    </xf>
    <xf numFmtId="0" fontId="0" fillId="11" borderId="1" xfId="0" applyFill="1" applyBorder="1" applyAlignment="1">
      <alignment horizontal="right" vertical="center"/>
    </xf>
    <xf numFmtId="0" fontId="0" fillId="11" borderId="1" xfId="0" applyFill="1" applyBorder="1" applyAlignment="1">
      <alignment horizontal="left" vertical="top"/>
    </xf>
    <xf numFmtId="0" fontId="22" fillId="11" borderId="1" xfId="0" applyFont="1" applyFill="1" applyBorder="1" applyAlignment="1">
      <alignment horizontal="left" vertical="top"/>
    </xf>
    <xf numFmtId="0" fontId="22" fillId="11" borderId="1" xfId="0" applyFont="1" applyFill="1" applyBorder="1" applyAlignment="1">
      <alignment horizontal="left" vertical="top" indent="12"/>
    </xf>
    <xf numFmtId="0" fontId="0" fillId="0" borderId="0" xfId="0" applyAlignment="1">
      <alignment horizontal="center" vertical="top"/>
    </xf>
    <xf numFmtId="0" fontId="0" fillId="0" borderId="1" xfId="0" applyBorder="1" applyAlignment="1">
      <alignment horizontal="center" vertical="top"/>
    </xf>
    <xf numFmtId="0" fontId="0" fillId="7" borderId="1" xfId="0" applyFill="1" applyBorder="1" applyAlignment="1">
      <alignment horizontal="center" vertical="top"/>
    </xf>
    <xf numFmtId="0" fontId="0" fillId="7" borderId="1" xfId="0" applyFill="1" applyBorder="1" applyAlignment="1">
      <alignment horizontal="left" vertical="top" indent="9"/>
    </xf>
    <xf numFmtId="0" fontId="0" fillId="7" borderId="1" xfId="0" applyFill="1" applyBorder="1" applyAlignment="1">
      <alignment horizontal="left" vertical="top" indent="10"/>
    </xf>
    <xf numFmtId="0" fontId="0" fillId="0" borderId="0" xfId="0" applyAlignment="1">
      <alignment vertical="top"/>
    </xf>
    <xf numFmtId="0" fontId="0" fillId="0" borderId="8" xfId="0" applyBorder="1" applyAlignment="1">
      <alignment vertical="top"/>
    </xf>
    <xf numFmtId="0" fontId="29" fillId="0" borderId="9" xfId="0" applyFont="1" applyBorder="1" applyAlignment="1">
      <alignment horizontal="center" vertical="top"/>
    </xf>
    <xf numFmtId="0" fontId="22" fillId="9" borderId="0" xfId="0" applyFont="1" applyFill="1" applyAlignment="1">
      <alignment horizontal="left" vertical="top"/>
    </xf>
    <xf numFmtId="0" fontId="0" fillId="9" borderId="0" xfId="0" applyFill="1" applyAlignment="1">
      <alignment horizontal="left" vertical="top"/>
    </xf>
    <xf numFmtId="0" fontId="0" fillId="0" borderId="0" xfId="0" applyAlignment="1">
      <alignment horizontal="left" vertical="top" wrapText="1"/>
    </xf>
    <xf numFmtId="0" fontId="0" fillId="12" borderId="0" xfId="0" applyFill="1" applyAlignment="1">
      <alignment horizontal="left" vertical="top"/>
    </xf>
    <xf numFmtId="0" fontId="0" fillId="0" borderId="10" xfId="0" applyBorder="1" applyAlignment="1">
      <alignment horizontal="left" vertical="top"/>
    </xf>
    <xf numFmtId="0" fontId="28" fillId="13" borderId="0" xfId="0" applyFont="1" applyFill="1" applyAlignment="1">
      <alignment horizontal="left" vertical="top"/>
    </xf>
    <xf numFmtId="0" fontId="0" fillId="13" borderId="0" xfId="0" applyFill="1" applyAlignment="1">
      <alignment horizontal="left" vertical="top"/>
    </xf>
    <xf numFmtId="0" fontId="22" fillId="0" borderId="0" xfId="0" applyFont="1" applyAlignment="1">
      <alignment horizontal="left" vertical="top" wrapText="1"/>
    </xf>
    <xf numFmtId="0" fontId="22" fillId="13" borderId="0" xfId="0" applyFont="1" applyFill="1" applyAlignment="1">
      <alignment horizontal="left" vertical="top"/>
    </xf>
    <xf numFmtId="0" fontId="0" fillId="12" borderId="0" xfId="0" applyFill="1" applyAlignment="1">
      <alignment horizontal="left" vertical="top" wrapText="1"/>
    </xf>
    <xf numFmtId="0" fontId="0" fillId="14" borderId="1" xfId="0" applyFill="1" applyBorder="1" applyAlignment="1">
      <alignment horizontal="center" vertical="center"/>
    </xf>
    <xf numFmtId="0" fontId="0" fillId="0" borderId="1" xfId="0" applyBorder="1" applyAlignment="1">
      <alignment horizontal="center" vertical="center"/>
    </xf>
    <xf numFmtId="0" fontId="2" fillId="0" borderId="0" xfId="0" applyFont="1" applyAlignment="1">
      <alignment horizontal="left" vertical="top" wrapText="1" indent="3"/>
    </xf>
    <xf numFmtId="0" fontId="3" fillId="0" borderId="0" xfId="0" applyFont="1" applyAlignment="1">
      <alignment horizontal="left" vertical="top" wrapText="1" indent="5"/>
    </xf>
    <xf numFmtId="0" fontId="0" fillId="0" borderId="0" xfId="0" applyAlignment="1">
      <alignment horizontal="left" vertical="top" wrapText="1" indent="5"/>
    </xf>
    <xf numFmtId="0" fontId="1" fillId="0" borderId="0" xfId="0" applyFont="1" applyAlignment="1">
      <alignment horizontal="left" vertical="top" wrapText="1"/>
    </xf>
    <xf numFmtId="0" fontId="22" fillId="0" borderId="0" xfId="0" applyFont="1" applyAlignment="1">
      <alignment horizontal="left" vertical="top" wrapText="1" indent="5"/>
    </xf>
    <xf numFmtId="0" fontId="21" fillId="3" borderId="0" xfId="0" applyFont="1" applyFill="1" applyAlignment="1">
      <alignment horizontal="center" wrapText="1"/>
    </xf>
    <xf numFmtId="0" fontId="20" fillId="3" borderId="0" xfId="0" applyFont="1" applyFill="1" applyAlignment="1">
      <alignment horizontal="center" wrapText="1"/>
    </xf>
    <xf numFmtId="0" fontId="20" fillId="3" borderId="0" xfId="0" applyFont="1" applyFill="1" applyAlignment="1">
      <alignment horizontal="left" vertical="top" wrapText="1" indent="5"/>
    </xf>
    <xf numFmtId="0" fontId="0" fillId="0" borderId="0" xfId="0" applyAlignment="1">
      <alignment horizontal="left" vertical="top" wrapText="1" indent="3"/>
    </xf>
    <xf numFmtId="0" fontId="12" fillId="0" borderId="0" xfId="0" applyFont="1" applyAlignment="1">
      <alignment horizontal="left" vertical="top" wrapText="1" indent="5"/>
    </xf>
    <xf numFmtId="0" fontId="3" fillId="0" borderId="0" xfId="0" applyFont="1" applyAlignment="1">
      <alignment horizontal="left" vertical="top" wrapText="1" indent="6"/>
    </xf>
    <xf numFmtId="0" fontId="0" fillId="0" borderId="0" xfId="0"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lignment horizontal="left" vertical="top" wrapText="1" indent="1"/>
    </xf>
    <xf numFmtId="0" fontId="19" fillId="0" borderId="0" xfId="0" applyFont="1" applyAlignment="1">
      <alignment horizontal="left" vertical="top" wrapText="1" indent="1"/>
    </xf>
    <xf numFmtId="0" fontId="6" fillId="0" borderId="0" xfId="0" applyFont="1" applyAlignment="1">
      <alignment horizontal="left" vertical="top" wrapText="1" indent="1"/>
    </xf>
    <xf numFmtId="0" fontId="0" fillId="0" borderId="0" xfId="0" applyAlignment="1">
      <alignment horizontal="left" vertical="top" wrapText="1" indent="4"/>
    </xf>
    <xf numFmtId="0" fontId="0" fillId="0" borderId="0" xfId="0" applyAlignment="1">
      <alignment horizontal="left" vertical="top" wrapText="1" indent="9"/>
    </xf>
    <xf numFmtId="0" fontId="7" fillId="0" borderId="0" xfId="0" applyFont="1" applyAlignment="1">
      <alignment horizontal="left" vertical="top" wrapText="1" indent="3"/>
    </xf>
    <xf numFmtId="0" fontId="8" fillId="0" borderId="0" xfId="0" applyFont="1" applyAlignment="1">
      <alignment horizontal="left" vertical="top" wrapText="1" indent="1"/>
    </xf>
    <xf numFmtId="0" fontId="7" fillId="0" borderId="0" xfId="0" applyFont="1" applyAlignment="1">
      <alignment horizontal="left" vertical="top" wrapText="1" indent="8"/>
    </xf>
    <xf numFmtId="0" fontId="25" fillId="0" borderId="1" xfId="0" applyFont="1" applyBorder="1" applyAlignment="1">
      <alignment horizontal="left" vertical="center" wrapText="1"/>
    </xf>
    <xf numFmtId="0" fontId="0" fillId="0" borderId="3" xfId="0" applyBorder="1" applyAlignment="1">
      <alignment horizontal="left" vertical="center" wrapText="1"/>
    </xf>
    <xf numFmtId="0" fontId="25" fillId="7" borderId="1" xfId="0" applyFont="1" applyFill="1" applyBorder="1" applyAlignment="1">
      <alignment horizontal="left" vertical="center" wrapText="1"/>
    </xf>
    <xf numFmtId="0" fontId="0" fillId="7" borderId="3" xfId="0" applyFill="1" applyBorder="1" applyAlignment="1">
      <alignment horizontal="left" vertical="center" wrapText="1"/>
    </xf>
    <xf numFmtId="0" fontId="25" fillId="7" borderId="4" xfId="0" applyFont="1" applyFill="1" applyBorder="1" applyAlignment="1">
      <alignment horizontal="left" vertical="top" wrapText="1"/>
    </xf>
    <xf numFmtId="0" fontId="0" fillId="7" borderId="5" xfId="0" applyFill="1" applyBorder="1" applyAlignment="1">
      <alignment horizontal="left" vertical="top" wrapText="1"/>
    </xf>
    <xf numFmtId="0" fontId="0" fillId="3" borderId="0" xfId="0" applyFill="1" applyAlignment="1">
      <alignment horizontal="left" vertical="top"/>
    </xf>
    <xf numFmtId="0" fontId="0" fillId="0" borderId="0" xfId="0"/>
    <xf numFmtId="0" fontId="0" fillId="0" borderId="0" xfId="0" applyFill="1" applyBorder="1" applyAlignment="1">
      <alignment vertical="top"/>
    </xf>
    <xf numFmtId="0" fontId="0" fillId="0" borderId="8" xfId="0" applyFill="1" applyBorder="1" applyAlignment="1">
      <alignment vertical="top"/>
    </xf>
    <xf numFmtId="0" fontId="29" fillId="0" borderId="9" xfId="0" applyFont="1" applyFill="1" applyBorder="1" applyAlignment="1">
      <alignment horizontal="center" vertical="top"/>
    </xf>
    <xf numFmtId="0" fontId="22" fillId="3" borderId="0" xfId="0" applyFont="1" applyFill="1" applyAlignment="1">
      <alignment horizontal="left" vertical="top"/>
    </xf>
    <xf numFmtId="0" fontId="22" fillId="15" borderId="0" xfId="0" applyFont="1" applyFill="1" applyAlignment="1">
      <alignment horizontal="left" vertical="top"/>
    </xf>
    <xf numFmtId="0" fontId="0" fillId="15" borderId="0" xfId="0" applyFill="1" applyAlignment="1">
      <alignment horizontal="left" vertical="top"/>
    </xf>
    <xf numFmtId="0" fontId="22" fillId="7" borderId="1" xfId="0" applyFont="1" applyFill="1" applyBorder="1" applyAlignment="1">
      <alignment horizontal="center" vertical="top"/>
    </xf>
    <xf numFmtId="0" fontId="0" fillId="3" borderId="1" xfId="0" applyFill="1" applyBorder="1" applyAlignment="1">
      <alignment horizontal="center" vertical="top"/>
    </xf>
    <xf numFmtId="0" fontId="22" fillId="0" borderId="1" xfId="0" applyFont="1" applyBorder="1" applyAlignment="1">
      <alignment horizontal="center" vertical="top"/>
    </xf>
    <xf numFmtId="0" fontId="0" fillId="3" borderId="0" xfId="0" applyFill="1"/>
    <xf numFmtId="0" fontId="0" fillId="0" borderId="0" xfId="0" applyFill="1" applyAlignment="1">
      <alignment horizontal="left" vertical="top"/>
    </xf>
    <xf numFmtId="0" fontId="0" fillId="0" borderId="0" xfId="0" applyBorder="1" applyAlignment="1">
      <alignment horizontal="left" vertical="top"/>
    </xf>
    <xf numFmtId="0" fontId="0" fillId="0" borderId="1" xfId="0" applyFill="1" applyBorder="1" applyAlignment="1">
      <alignment horizontal="left" vertical="top"/>
    </xf>
    <xf numFmtId="0" fontId="22" fillId="3" borderId="0" xfId="0" applyFont="1" applyFill="1"/>
    <xf numFmtId="0" fontId="22" fillId="0" borderId="0" xfId="0" applyFont="1" applyFill="1" applyAlignment="1">
      <alignment horizontal="left" vertical="top"/>
    </xf>
    <xf numFmtId="0" fontId="22" fillId="5" borderId="1"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'More Statistics Question'!$O$5</c:f>
              <c:strCache>
                <c:ptCount val="1"/>
                <c:pt idx="0">
                  <c:v>frequency</c:v>
                </c:pt>
              </c:strCache>
            </c:strRef>
          </c:tx>
          <c:spPr>
            <a:solidFill>
              <a:schemeClr val="accent1"/>
            </a:solidFill>
            <a:ln>
              <a:noFill/>
            </a:ln>
            <a:effectLst/>
          </c:spPr>
          <c:invertIfNegative val="0"/>
          <c:cat>
            <c:strRef>
              <c:f>'More Statistics Question'!$N$6:$N$12</c:f>
              <c:strCache>
                <c:ptCount val="7"/>
                <c:pt idx="0">
                  <c:v>A</c:v>
                </c:pt>
                <c:pt idx="1">
                  <c:v>B</c:v>
                </c:pt>
                <c:pt idx="2">
                  <c:v>C</c:v>
                </c:pt>
                <c:pt idx="3">
                  <c:v>D</c:v>
                </c:pt>
                <c:pt idx="4">
                  <c:v>E</c:v>
                </c:pt>
                <c:pt idx="5">
                  <c:v>F</c:v>
                </c:pt>
                <c:pt idx="6">
                  <c:v>G</c:v>
                </c:pt>
              </c:strCache>
            </c:strRef>
          </c:cat>
          <c:val>
            <c:numRef>
              <c:f>'More Statistics Question'!$O$6:$O$12</c:f>
              <c:numCache>
                <c:formatCode>General</c:formatCode>
                <c:ptCount val="7"/>
                <c:pt idx="0">
                  <c:v>30</c:v>
                </c:pt>
                <c:pt idx="1">
                  <c:v>40</c:v>
                </c:pt>
                <c:pt idx="2">
                  <c:v>20</c:v>
                </c:pt>
                <c:pt idx="3">
                  <c:v>10</c:v>
                </c:pt>
                <c:pt idx="4">
                  <c:v>45</c:v>
                </c:pt>
                <c:pt idx="5">
                  <c:v>25</c:v>
                </c:pt>
                <c:pt idx="6">
                  <c:v>30</c:v>
                </c:pt>
              </c:numCache>
            </c:numRef>
          </c:val>
          <c:extLst>
            <c:ext xmlns:c16="http://schemas.microsoft.com/office/drawing/2014/chart" uri="{C3380CC4-5D6E-409C-BE32-E72D297353CC}">
              <c16:uniqueId val="{00000000-F017-4EBA-AC39-56D11A26D681}"/>
            </c:ext>
          </c:extLst>
        </c:ser>
        <c:dLbls>
          <c:showLegendKey val="0"/>
          <c:showVal val="0"/>
          <c:showCatName val="0"/>
          <c:showSerName val="0"/>
          <c:showPercent val="0"/>
          <c:showBubbleSize val="0"/>
        </c:dLbls>
        <c:gapWidth val="182"/>
        <c:axId val="1829266623"/>
        <c:axId val="2014264735"/>
      </c:barChart>
      <c:catAx>
        <c:axId val="18292666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2014264735"/>
        <c:crosses val="autoZero"/>
        <c:auto val="1"/>
        <c:lblAlgn val="ctr"/>
        <c:lblOffset val="100"/>
        <c:noMultiLvlLbl val="0"/>
      </c:catAx>
      <c:valAx>
        <c:axId val="2014264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82926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'More Statistics Question'!$U$6:$U$105</c:f>
              <c:numCache>
                <c:formatCode>General</c:formatCode>
                <c:ptCount val="100"/>
                <c:pt idx="0">
                  <c:v>4</c:v>
                </c:pt>
                <c:pt idx="1">
                  <c:v>5</c:v>
                </c:pt>
                <c:pt idx="2">
                  <c:v>3</c:v>
                </c:pt>
                <c:pt idx="3">
                  <c:v>4</c:v>
                </c:pt>
                <c:pt idx="4">
                  <c:v>4</c:v>
                </c:pt>
                <c:pt idx="5">
                  <c:v>3</c:v>
                </c:pt>
                <c:pt idx="6">
                  <c:v>2</c:v>
                </c:pt>
                <c:pt idx="7">
                  <c:v>5</c:v>
                </c:pt>
                <c:pt idx="8">
                  <c:v>4</c:v>
                </c:pt>
                <c:pt idx="9">
                  <c:v>3</c:v>
                </c:pt>
                <c:pt idx="10">
                  <c:v>5</c:v>
                </c:pt>
                <c:pt idx="11">
                  <c:v>4</c:v>
                </c:pt>
                <c:pt idx="12">
                  <c:v>2</c:v>
                </c:pt>
                <c:pt idx="13">
                  <c:v>3</c:v>
                </c:pt>
                <c:pt idx="14">
                  <c:v>4</c:v>
                </c:pt>
                <c:pt idx="15">
                  <c:v>5</c:v>
                </c:pt>
                <c:pt idx="16">
                  <c:v>3</c:v>
                </c:pt>
                <c:pt idx="17">
                  <c:v>4</c:v>
                </c:pt>
                <c:pt idx="18">
                  <c:v>5</c:v>
                </c:pt>
                <c:pt idx="19">
                  <c:v>3</c:v>
                </c:pt>
                <c:pt idx="20">
                  <c:v>4</c:v>
                </c:pt>
                <c:pt idx="21">
                  <c:v>3</c:v>
                </c:pt>
                <c:pt idx="22">
                  <c:v>2</c:v>
                </c:pt>
                <c:pt idx="23">
                  <c:v>4</c:v>
                </c:pt>
                <c:pt idx="24">
                  <c:v>5</c:v>
                </c:pt>
                <c:pt idx="25">
                  <c:v>3</c:v>
                </c:pt>
                <c:pt idx="26">
                  <c:v>4</c:v>
                </c:pt>
                <c:pt idx="27">
                  <c:v>5</c:v>
                </c:pt>
                <c:pt idx="28">
                  <c:v>4</c:v>
                </c:pt>
                <c:pt idx="29">
                  <c:v>3</c:v>
                </c:pt>
                <c:pt idx="30">
                  <c:v>3</c:v>
                </c:pt>
                <c:pt idx="31">
                  <c:v>4</c:v>
                </c:pt>
                <c:pt idx="32">
                  <c:v>5</c:v>
                </c:pt>
                <c:pt idx="33">
                  <c:v>2</c:v>
                </c:pt>
                <c:pt idx="34">
                  <c:v>3</c:v>
                </c:pt>
                <c:pt idx="35">
                  <c:v>4</c:v>
                </c:pt>
                <c:pt idx="36">
                  <c:v>4</c:v>
                </c:pt>
                <c:pt idx="37">
                  <c:v>3</c:v>
                </c:pt>
                <c:pt idx="38">
                  <c:v>5</c:v>
                </c:pt>
                <c:pt idx="39">
                  <c:v>4</c:v>
                </c:pt>
                <c:pt idx="40">
                  <c:v>3</c:v>
                </c:pt>
                <c:pt idx="41">
                  <c:v>4</c:v>
                </c:pt>
                <c:pt idx="42">
                  <c:v>5</c:v>
                </c:pt>
                <c:pt idx="43">
                  <c:v>4</c:v>
                </c:pt>
                <c:pt idx="44">
                  <c:v>2</c:v>
                </c:pt>
                <c:pt idx="45">
                  <c:v>3</c:v>
                </c:pt>
                <c:pt idx="46">
                  <c:v>4</c:v>
                </c:pt>
                <c:pt idx="47">
                  <c:v>5</c:v>
                </c:pt>
                <c:pt idx="48">
                  <c:v>3</c:v>
                </c:pt>
                <c:pt idx="49">
                  <c:v>4</c:v>
                </c:pt>
                <c:pt idx="50">
                  <c:v>5</c:v>
                </c:pt>
                <c:pt idx="51">
                  <c:v>4</c:v>
                </c:pt>
                <c:pt idx="52">
                  <c:v>3</c:v>
                </c:pt>
                <c:pt idx="53">
                  <c:v>4</c:v>
                </c:pt>
                <c:pt idx="54">
                  <c:v>5</c:v>
                </c:pt>
                <c:pt idx="55">
                  <c:v>3</c:v>
                </c:pt>
                <c:pt idx="56">
                  <c:v>4</c:v>
                </c:pt>
                <c:pt idx="57">
                  <c:v>5</c:v>
                </c:pt>
                <c:pt idx="58">
                  <c:v>4</c:v>
                </c:pt>
                <c:pt idx="59">
                  <c:v>3</c:v>
                </c:pt>
                <c:pt idx="60">
                  <c:v>3</c:v>
                </c:pt>
                <c:pt idx="61">
                  <c:v>4</c:v>
                </c:pt>
                <c:pt idx="62">
                  <c:v>5</c:v>
                </c:pt>
                <c:pt idx="63">
                  <c:v>2</c:v>
                </c:pt>
                <c:pt idx="64">
                  <c:v>3</c:v>
                </c:pt>
                <c:pt idx="65">
                  <c:v>4</c:v>
                </c:pt>
                <c:pt idx="66">
                  <c:v>4</c:v>
                </c:pt>
                <c:pt idx="67">
                  <c:v>3</c:v>
                </c:pt>
                <c:pt idx="68">
                  <c:v>5</c:v>
                </c:pt>
                <c:pt idx="69">
                  <c:v>4</c:v>
                </c:pt>
                <c:pt idx="70">
                  <c:v>3</c:v>
                </c:pt>
                <c:pt idx="71">
                  <c:v>4</c:v>
                </c:pt>
                <c:pt idx="72">
                  <c:v>5</c:v>
                </c:pt>
                <c:pt idx="73">
                  <c:v>4</c:v>
                </c:pt>
                <c:pt idx="74">
                  <c:v>2</c:v>
                </c:pt>
                <c:pt idx="75">
                  <c:v>3</c:v>
                </c:pt>
                <c:pt idx="76">
                  <c:v>4</c:v>
                </c:pt>
                <c:pt idx="77">
                  <c:v>5</c:v>
                </c:pt>
                <c:pt idx="78">
                  <c:v>3</c:v>
                </c:pt>
                <c:pt idx="79">
                  <c:v>4</c:v>
                </c:pt>
                <c:pt idx="80">
                  <c:v>5</c:v>
                </c:pt>
                <c:pt idx="81">
                  <c:v>4</c:v>
                </c:pt>
                <c:pt idx="82">
                  <c:v>3</c:v>
                </c:pt>
                <c:pt idx="83">
                  <c:v>4</c:v>
                </c:pt>
                <c:pt idx="84">
                  <c:v>5</c:v>
                </c:pt>
                <c:pt idx="85">
                  <c:v>3</c:v>
                </c:pt>
                <c:pt idx="86">
                  <c:v>4</c:v>
                </c:pt>
                <c:pt idx="87">
                  <c:v>5</c:v>
                </c:pt>
                <c:pt idx="88">
                  <c:v>4</c:v>
                </c:pt>
                <c:pt idx="89">
                  <c:v>3</c:v>
                </c:pt>
                <c:pt idx="90">
                  <c:v>3</c:v>
                </c:pt>
                <c:pt idx="91">
                  <c:v>4</c:v>
                </c:pt>
                <c:pt idx="92">
                  <c:v>5</c:v>
                </c:pt>
                <c:pt idx="93">
                  <c:v>2</c:v>
                </c:pt>
                <c:pt idx="94">
                  <c:v>3</c:v>
                </c:pt>
                <c:pt idx="95">
                  <c:v>4</c:v>
                </c:pt>
                <c:pt idx="96">
                  <c:v>4</c:v>
                </c:pt>
                <c:pt idx="97">
                  <c:v>3</c:v>
                </c:pt>
                <c:pt idx="98">
                  <c:v>5</c:v>
                </c:pt>
                <c:pt idx="99">
                  <c:v>4</c:v>
                </c:pt>
              </c:numCache>
            </c:numRef>
          </c:val>
          <c:extLst>
            <c:ext xmlns:c16="http://schemas.microsoft.com/office/drawing/2014/chart" uri="{C3380CC4-5D6E-409C-BE32-E72D297353CC}">
              <c16:uniqueId val="{00000000-73F7-4C1A-82C9-C95EA136ED4E}"/>
            </c:ext>
          </c:extLst>
        </c:ser>
        <c:dLbls>
          <c:showLegendKey val="0"/>
          <c:showVal val="0"/>
          <c:showCatName val="0"/>
          <c:showSerName val="0"/>
          <c:showPercent val="0"/>
          <c:showBubbleSize val="0"/>
        </c:dLbls>
        <c:gapWidth val="150"/>
        <c:overlap val="100"/>
        <c:axId val="108033103"/>
        <c:axId val="108034063"/>
      </c:barChart>
      <c:catAx>
        <c:axId val="108033103"/>
        <c:scaling>
          <c:orientation val="minMax"/>
        </c:scaling>
        <c:delete val="0"/>
        <c:axPos val="l"/>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08034063"/>
        <c:crosses val="autoZero"/>
        <c:auto val="1"/>
        <c:lblAlgn val="ctr"/>
        <c:lblOffset val="100"/>
        <c:noMultiLvlLbl val="0"/>
      </c:catAx>
      <c:valAx>
        <c:axId val="108034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08033103"/>
        <c:crosses val="autoZero"/>
        <c:crossBetween val="between"/>
      </c:valAx>
      <c:spPr>
        <a:solidFill>
          <a:schemeClr val="accent6">
            <a:lumMod val="60000"/>
            <a:lumOff val="4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'More Statistics Question'!$AE$3</c:f>
              <c:strCache>
                <c:ptCount val="1"/>
                <c:pt idx="0">
                  <c:v>Sales</c:v>
                </c:pt>
              </c:strCache>
            </c:strRef>
          </c:tx>
          <c:spPr>
            <a:solidFill>
              <a:schemeClr val="accent1"/>
            </a:solidFill>
            <a:ln>
              <a:noFill/>
            </a:ln>
            <a:effectLst/>
          </c:spPr>
          <c:invertIfNegative val="0"/>
          <c:val>
            <c:numRef>
              <c:f>'More Statistics Question'!$AE$4:$AE$53</c:f>
              <c:numCache>
                <c:formatCode>General</c:formatCode>
                <c:ptCount val="50"/>
                <c:pt idx="0">
                  <c:v>35</c:v>
                </c:pt>
                <c:pt idx="1">
                  <c:v>28</c:v>
                </c:pt>
                <c:pt idx="2">
                  <c:v>32</c:v>
                </c:pt>
                <c:pt idx="3">
                  <c:v>45</c:v>
                </c:pt>
                <c:pt idx="4">
                  <c:v>38</c:v>
                </c:pt>
                <c:pt idx="5">
                  <c:v>29</c:v>
                </c:pt>
                <c:pt idx="6">
                  <c:v>42</c:v>
                </c:pt>
                <c:pt idx="7">
                  <c:v>30</c:v>
                </c:pt>
                <c:pt idx="8">
                  <c:v>36</c:v>
                </c:pt>
                <c:pt idx="9">
                  <c:v>41</c:v>
                </c:pt>
                <c:pt idx="10">
                  <c:v>47</c:v>
                </c:pt>
                <c:pt idx="11">
                  <c:v>31</c:v>
                </c:pt>
                <c:pt idx="12">
                  <c:v>39</c:v>
                </c:pt>
                <c:pt idx="13">
                  <c:v>43</c:v>
                </c:pt>
                <c:pt idx="14">
                  <c:v>37</c:v>
                </c:pt>
                <c:pt idx="15">
                  <c:v>30</c:v>
                </c:pt>
                <c:pt idx="16">
                  <c:v>34</c:v>
                </c:pt>
                <c:pt idx="17">
                  <c:v>39</c:v>
                </c:pt>
                <c:pt idx="18">
                  <c:v>28</c:v>
                </c:pt>
                <c:pt idx="19">
                  <c:v>33</c:v>
                </c:pt>
                <c:pt idx="20">
                  <c:v>36</c:v>
                </c:pt>
                <c:pt idx="21">
                  <c:v>40</c:v>
                </c:pt>
                <c:pt idx="22">
                  <c:v>42</c:v>
                </c:pt>
                <c:pt idx="23">
                  <c:v>29</c:v>
                </c:pt>
                <c:pt idx="24">
                  <c:v>31</c:v>
                </c:pt>
                <c:pt idx="25">
                  <c:v>45</c:v>
                </c:pt>
                <c:pt idx="26">
                  <c:v>38</c:v>
                </c:pt>
                <c:pt idx="27">
                  <c:v>33</c:v>
                </c:pt>
                <c:pt idx="28">
                  <c:v>41</c:v>
                </c:pt>
                <c:pt idx="29">
                  <c:v>35</c:v>
                </c:pt>
                <c:pt idx="30">
                  <c:v>37</c:v>
                </c:pt>
                <c:pt idx="31">
                  <c:v>34</c:v>
                </c:pt>
                <c:pt idx="32">
                  <c:v>46</c:v>
                </c:pt>
                <c:pt idx="33">
                  <c:v>30</c:v>
                </c:pt>
                <c:pt idx="34">
                  <c:v>39</c:v>
                </c:pt>
                <c:pt idx="35">
                  <c:v>43</c:v>
                </c:pt>
                <c:pt idx="36">
                  <c:v>28</c:v>
                </c:pt>
                <c:pt idx="37">
                  <c:v>32</c:v>
                </c:pt>
                <c:pt idx="38">
                  <c:v>36</c:v>
                </c:pt>
                <c:pt idx="39">
                  <c:v>29</c:v>
                </c:pt>
                <c:pt idx="40">
                  <c:v>31</c:v>
                </c:pt>
                <c:pt idx="41">
                  <c:v>37</c:v>
                </c:pt>
                <c:pt idx="42">
                  <c:v>40</c:v>
                </c:pt>
                <c:pt idx="43">
                  <c:v>42</c:v>
                </c:pt>
                <c:pt idx="44">
                  <c:v>33</c:v>
                </c:pt>
                <c:pt idx="45">
                  <c:v>39</c:v>
                </c:pt>
                <c:pt idx="46">
                  <c:v>28</c:v>
                </c:pt>
                <c:pt idx="47">
                  <c:v>35</c:v>
                </c:pt>
                <c:pt idx="48">
                  <c:v>38</c:v>
                </c:pt>
                <c:pt idx="49">
                  <c:v>43</c:v>
                </c:pt>
              </c:numCache>
            </c:numRef>
          </c:val>
          <c:extLst>
            <c:ext xmlns:c16="http://schemas.microsoft.com/office/drawing/2014/chart" uri="{C3380CC4-5D6E-409C-BE32-E72D297353CC}">
              <c16:uniqueId val="{00000000-A339-4508-9128-195319688A2E}"/>
            </c:ext>
          </c:extLst>
        </c:ser>
        <c:dLbls>
          <c:showLegendKey val="0"/>
          <c:showVal val="0"/>
          <c:showCatName val="0"/>
          <c:showSerName val="0"/>
          <c:showPercent val="0"/>
          <c:showBubbleSize val="0"/>
        </c:dLbls>
        <c:gapWidth val="182"/>
        <c:axId val="23031600"/>
        <c:axId val="23024400"/>
      </c:barChart>
      <c:catAx>
        <c:axId val="23031600"/>
        <c:scaling>
          <c:orientation val="minMax"/>
        </c:scaling>
        <c:delete val="0"/>
        <c:axPos val="l"/>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24400"/>
        <c:crosses val="autoZero"/>
        <c:auto val="1"/>
        <c:lblAlgn val="ctr"/>
        <c:lblOffset val="100"/>
        <c:noMultiLvlLbl val="0"/>
      </c:catAx>
      <c:valAx>
        <c:axId val="23024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3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'More Statistics Question'!$AP$4:$AP$103</c:f>
              <c:numCache>
                <c:formatCode>General</c:formatCode>
                <c:ptCount val="100"/>
                <c:pt idx="0">
                  <c:v>125</c:v>
                </c:pt>
                <c:pt idx="1">
                  <c:v>148</c:v>
                </c:pt>
                <c:pt idx="2">
                  <c:v>137</c:v>
                </c:pt>
                <c:pt idx="3">
                  <c:v>120</c:v>
                </c:pt>
                <c:pt idx="4">
                  <c:v>135</c:v>
                </c:pt>
                <c:pt idx="5">
                  <c:v>132</c:v>
                </c:pt>
                <c:pt idx="6">
                  <c:v>145</c:v>
                </c:pt>
                <c:pt idx="7">
                  <c:v>122</c:v>
                </c:pt>
                <c:pt idx="8">
                  <c:v>130</c:v>
                </c:pt>
                <c:pt idx="9">
                  <c:v>141</c:v>
                </c:pt>
                <c:pt idx="10">
                  <c:v>118</c:v>
                </c:pt>
                <c:pt idx="11">
                  <c:v>125</c:v>
                </c:pt>
                <c:pt idx="12">
                  <c:v>132</c:v>
                </c:pt>
                <c:pt idx="13">
                  <c:v>136</c:v>
                </c:pt>
                <c:pt idx="14">
                  <c:v>128</c:v>
                </c:pt>
                <c:pt idx="15">
                  <c:v>123</c:v>
                </c:pt>
                <c:pt idx="16">
                  <c:v>132</c:v>
                </c:pt>
                <c:pt idx="17">
                  <c:v>138</c:v>
                </c:pt>
                <c:pt idx="18">
                  <c:v>126</c:v>
                </c:pt>
                <c:pt idx="19">
                  <c:v>129</c:v>
                </c:pt>
                <c:pt idx="20">
                  <c:v>136</c:v>
                </c:pt>
                <c:pt idx="21">
                  <c:v>127</c:v>
                </c:pt>
                <c:pt idx="22">
                  <c:v>130</c:v>
                </c:pt>
                <c:pt idx="23">
                  <c:v>122</c:v>
                </c:pt>
                <c:pt idx="24">
                  <c:v>125</c:v>
                </c:pt>
                <c:pt idx="25">
                  <c:v>133</c:v>
                </c:pt>
                <c:pt idx="26">
                  <c:v>140</c:v>
                </c:pt>
                <c:pt idx="27">
                  <c:v>126</c:v>
                </c:pt>
                <c:pt idx="28">
                  <c:v>133</c:v>
                </c:pt>
                <c:pt idx="29">
                  <c:v>135</c:v>
                </c:pt>
                <c:pt idx="30">
                  <c:v>130</c:v>
                </c:pt>
                <c:pt idx="31">
                  <c:v>134</c:v>
                </c:pt>
                <c:pt idx="32">
                  <c:v>141</c:v>
                </c:pt>
                <c:pt idx="33">
                  <c:v>119</c:v>
                </c:pt>
                <c:pt idx="34">
                  <c:v>125</c:v>
                </c:pt>
                <c:pt idx="35">
                  <c:v>131</c:v>
                </c:pt>
                <c:pt idx="36">
                  <c:v>136</c:v>
                </c:pt>
                <c:pt idx="37">
                  <c:v>128</c:v>
                </c:pt>
                <c:pt idx="38">
                  <c:v>124</c:v>
                </c:pt>
                <c:pt idx="39">
                  <c:v>132</c:v>
                </c:pt>
                <c:pt idx="40">
                  <c:v>136</c:v>
                </c:pt>
                <c:pt idx="41">
                  <c:v>127</c:v>
                </c:pt>
                <c:pt idx="42">
                  <c:v>130</c:v>
                </c:pt>
                <c:pt idx="43">
                  <c:v>122</c:v>
                </c:pt>
                <c:pt idx="44">
                  <c:v>125</c:v>
                </c:pt>
                <c:pt idx="45">
                  <c:v>133</c:v>
                </c:pt>
                <c:pt idx="46">
                  <c:v>140</c:v>
                </c:pt>
                <c:pt idx="47">
                  <c:v>126</c:v>
                </c:pt>
                <c:pt idx="48">
                  <c:v>133</c:v>
                </c:pt>
                <c:pt idx="49">
                  <c:v>135</c:v>
                </c:pt>
                <c:pt idx="50">
                  <c:v>130</c:v>
                </c:pt>
                <c:pt idx="51">
                  <c:v>134</c:v>
                </c:pt>
                <c:pt idx="52">
                  <c:v>141</c:v>
                </c:pt>
                <c:pt idx="53">
                  <c:v>119</c:v>
                </c:pt>
                <c:pt idx="54">
                  <c:v>125</c:v>
                </c:pt>
                <c:pt idx="55">
                  <c:v>131</c:v>
                </c:pt>
                <c:pt idx="56">
                  <c:v>136</c:v>
                </c:pt>
                <c:pt idx="57">
                  <c:v>128</c:v>
                </c:pt>
                <c:pt idx="58">
                  <c:v>124</c:v>
                </c:pt>
                <c:pt idx="59">
                  <c:v>132</c:v>
                </c:pt>
                <c:pt idx="60">
                  <c:v>136</c:v>
                </c:pt>
                <c:pt idx="61">
                  <c:v>127</c:v>
                </c:pt>
                <c:pt idx="62">
                  <c:v>130</c:v>
                </c:pt>
                <c:pt idx="63">
                  <c:v>122</c:v>
                </c:pt>
                <c:pt idx="64">
                  <c:v>125</c:v>
                </c:pt>
                <c:pt idx="65">
                  <c:v>133</c:v>
                </c:pt>
                <c:pt idx="66">
                  <c:v>140</c:v>
                </c:pt>
                <c:pt idx="67">
                  <c:v>126</c:v>
                </c:pt>
                <c:pt idx="68">
                  <c:v>133</c:v>
                </c:pt>
                <c:pt idx="69">
                  <c:v>135</c:v>
                </c:pt>
                <c:pt idx="70">
                  <c:v>130</c:v>
                </c:pt>
                <c:pt idx="71">
                  <c:v>134</c:v>
                </c:pt>
                <c:pt idx="72">
                  <c:v>141</c:v>
                </c:pt>
                <c:pt idx="73">
                  <c:v>119</c:v>
                </c:pt>
                <c:pt idx="74">
                  <c:v>125</c:v>
                </c:pt>
                <c:pt idx="75">
                  <c:v>131</c:v>
                </c:pt>
                <c:pt idx="76">
                  <c:v>136</c:v>
                </c:pt>
                <c:pt idx="77">
                  <c:v>128</c:v>
                </c:pt>
                <c:pt idx="78">
                  <c:v>124</c:v>
                </c:pt>
                <c:pt idx="79">
                  <c:v>132</c:v>
                </c:pt>
                <c:pt idx="80">
                  <c:v>136</c:v>
                </c:pt>
                <c:pt idx="81">
                  <c:v>127</c:v>
                </c:pt>
                <c:pt idx="82">
                  <c:v>130</c:v>
                </c:pt>
                <c:pt idx="83">
                  <c:v>122</c:v>
                </c:pt>
                <c:pt idx="84">
                  <c:v>125</c:v>
                </c:pt>
                <c:pt idx="85">
                  <c:v>133</c:v>
                </c:pt>
                <c:pt idx="86">
                  <c:v>140</c:v>
                </c:pt>
                <c:pt idx="87">
                  <c:v>126</c:v>
                </c:pt>
                <c:pt idx="88">
                  <c:v>133</c:v>
                </c:pt>
                <c:pt idx="89">
                  <c:v>135</c:v>
                </c:pt>
                <c:pt idx="90">
                  <c:v>130</c:v>
                </c:pt>
                <c:pt idx="91">
                  <c:v>134</c:v>
                </c:pt>
                <c:pt idx="92">
                  <c:v>141</c:v>
                </c:pt>
                <c:pt idx="93">
                  <c:v>119</c:v>
                </c:pt>
                <c:pt idx="94">
                  <c:v>125</c:v>
                </c:pt>
                <c:pt idx="95">
                  <c:v>131</c:v>
                </c:pt>
                <c:pt idx="96">
                  <c:v>136</c:v>
                </c:pt>
                <c:pt idx="97">
                  <c:v>128</c:v>
                </c:pt>
                <c:pt idx="98">
                  <c:v>124</c:v>
                </c:pt>
                <c:pt idx="99">
                  <c:v>132</c:v>
                </c:pt>
              </c:numCache>
            </c:numRef>
          </c:val>
          <c:extLst>
            <c:ext xmlns:c16="http://schemas.microsoft.com/office/drawing/2014/chart" uri="{C3380CC4-5D6E-409C-BE32-E72D297353CC}">
              <c16:uniqueId val="{00000000-898F-4223-8D74-D46FE717DF4E}"/>
            </c:ext>
          </c:extLst>
        </c:ser>
        <c:dLbls>
          <c:showLegendKey val="0"/>
          <c:showVal val="0"/>
          <c:showCatName val="0"/>
          <c:showSerName val="0"/>
          <c:showPercent val="0"/>
          <c:showBubbleSize val="0"/>
        </c:dLbls>
        <c:gapWidth val="150"/>
        <c:overlap val="100"/>
        <c:axId val="2032572495"/>
        <c:axId val="2032579215"/>
      </c:barChart>
      <c:catAx>
        <c:axId val="2032572495"/>
        <c:scaling>
          <c:orientation val="minMax"/>
        </c:scaling>
        <c:delete val="0"/>
        <c:axPos val="l"/>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2032579215"/>
        <c:crosses val="autoZero"/>
        <c:auto val="1"/>
        <c:lblAlgn val="ctr"/>
        <c:lblOffset val="100"/>
        <c:noMultiLvlLbl val="0"/>
      </c:catAx>
      <c:valAx>
        <c:axId val="2032579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203257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'More Statistics Question'!$BB$3</c:f>
              <c:strCache>
                <c:ptCount val="1"/>
                <c:pt idx="0">
                  <c:v>Region 1</c:v>
                </c:pt>
              </c:strCache>
            </c:strRef>
          </c:tx>
          <c:spPr>
            <a:solidFill>
              <a:schemeClr val="accent1"/>
            </a:solidFill>
            <a:ln>
              <a:noFill/>
            </a:ln>
            <a:effectLst/>
          </c:spPr>
          <c:invertIfNegative val="0"/>
          <c:val>
            <c:numRef>
              <c:f>'More Statistics Question'!$BB$4:$BB$13</c:f>
              <c:numCache>
                <c:formatCode>General</c:formatCode>
                <c:ptCount val="10"/>
                <c:pt idx="0">
                  <c:v>45</c:v>
                </c:pt>
                <c:pt idx="1">
                  <c:v>35</c:v>
                </c:pt>
                <c:pt idx="2">
                  <c:v>40</c:v>
                </c:pt>
                <c:pt idx="3">
                  <c:v>38</c:v>
                </c:pt>
                <c:pt idx="4">
                  <c:v>42</c:v>
                </c:pt>
                <c:pt idx="5">
                  <c:v>37</c:v>
                </c:pt>
                <c:pt idx="6">
                  <c:v>39</c:v>
                </c:pt>
                <c:pt idx="7">
                  <c:v>43</c:v>
                </c:pt>
                <c:pt idx="8">
                  <c:v>44</c:v>
                </c:pt>
                <c:pt idx="9">
                  <c:v>41</c:v>
                </c:pt>
              </c:numCache>
            </c:numRef>
          </c:val>
          <c:extLst>
            <c:ext xmlns:c16="http://schemas.microsoft.com/office/drawing/2014/chart" uri="{C3380CC4-5D6E-409C-BE32-E72D297353CC}">
              <c16:uniqueId val="{00000000-76B9-49BA-BF22-6D5BCFB521E0}"/>
            </c:ext>
          </c:extLst>
        </c:ser>
        <c:ser>
          <c:idx val="1"/>
          <c:order val="1"/>
          <c:tx>
            <c:strRef>
              <c:f>'More Statistics Question'!$BC$3</c:f>
              <c:strCache>
                <c:ptCount val="1"/>
                <c:pt idx="0">
                  <c:v> Region 2</c:v>
                </c:pt>
              </c:strCache>
            </c:strRef>
          </c:tx>
          <c:spPr>
            <a:solidFill>
              <a:schemeClr val="accent2"/>
            </a:solidFill>
            <a:ln>
              <a:noFill/>
            </a:ln>
            <a:effectLst/>
          </c:spPr>
          <c:invertIfNegative val="0"/>
          <c:val>
            <c:numRef>
              <c:f>'More Statistics Question'!$BC$4:$BC$13</c:f>
              <c:numCache>
                <c:formatCode>General</c:formatCode>
                <c:ptCount val="10"/>
                <c:pt idx="0">
                  <c:v>32</c:v>
                </c:pt>
                <c:pt idx="1">
                  <c:v>28</c:v>
                </c:pt>
                <c:pt idx="2">
                  <c:v>30</c:v>
                </c:pt>
                <c:pt idx="3">
                  <c:v>34</c:v>
                </c:pt>
                <c:pt idx="4">
                  <c:v>33</c:v>
                </c:pt>
                <c:pt idx="5">
                  <c:v>35</c:v>
                </c:pt>
                <c:pt idx="6">
                  <c:v>31</c:v>
                </c:pt>
                <c:pt idx="7">
                  <c:v>29</c:v>
                </c:pt>
                <c:pt idx="8">
                  <c:v>36</c:v>
                </c:pt>
                <c:pt idx="9">
                  <c:v>37</c:v>
                </c:pt>
              </c:numCache>
            </c:numRef>
          </c:val>
          <c:extLst>
            <c:ext xmlns:c16="http://schemas.microsoft.com/office/drawing/2014/chart" uri="{C3380CC4-5D6E-409C-BE32-E72D297353CC}">
              <c16:uniqueId val="{00000001-76B9-49BA-BF22-6D5BCFB521E0}"/>
            </c:ext>
          </c:extLst>
        </c:ser>
        <c:ser>
          <c:idx val="2"/>
          <c:order val="2"/>
          <c:tx>
            <c:strRef>
              <c:f>'More Statistics Question'!$BD$3</c:f>
              <c:strCache>
                <c:ptCount val="1"/>
                <c:pt idx="0">
                  <c:v> Region 3</c:v>
                </c:pt>
              </c:strCache>
            </c:strRef>
          </c:tx>
          <c:spPr>
            <a:solidFill>
              <a:schemeClr val="accent3"/>
            </a:solidFill>
            <a:ln>
              <a:noFill/>
            </a:ln>
            <a:effectLst/>
          </c:spPr>
          <c:invertIfNegative val="0"/>
          <c:val>
            <c:numRef>
              <c:f>'More Statistics Question'!$BD$4:$BD$13</c:f>
              <c:numCache>
                <c:formatCode>General</c:formatCode>
                <c:ptCount val="10"/>
                <c:pt idx="0">
                  <c:v>40</c:v>
                </c:pt>
                <c:pt idx="1">
                  <c:v>39</c:v>
                </c:pt>
                <c:pt idx="2">
                  <c:v>42</c:v>
                </c:pt>
                <c:pt idx="3">
                  <c:v>41</c:v>
                </c:pt>
                <c:pt idx="4">
                  <c:v>38</c:v>
                </c:pt>
                <c:pt idx="5">
                  <c:v>43</c:v>
                </c:pt>
                <c:pt idx="6">
                  <c:v>45</c:v>
                </c:pt>
                <c:pt idx="7">
                  <c:v>44</c:v>
                </c:pt>
                <c:pt idx="8">
                  <c:v>41</c:v>
                </c:pt>
                <c:pt idx="9">
                  <c:v>37</c:v>
                </c:pt>
              </c:numCache>
            </c:numRef>
          </c:val>
          <c:extLst>
            <c:ext xmlns:c16="http://schemas.microsoft.com/office/drawing/2014/chart" uri="{C3380CC4-5D6E-409C-BE32-E72D297353CC}">
              <c16:uniqueId val="{00000002-76B9-49BA-BF22-6D5BCFB521E0}"/>
            </c:ext>
          </c:extLst>
        </c:ser>
        <c:dLbls>
          <c:showLegendKey val="0"/>
          <c:showVal val="0"/>
          <c:showCatName val="0"/>
          <c:showSerName val="0"/>
          <c:showPercent val="0"/>
          <c:showBubbleSize val="0"/>
        </c:dLbls>
        <c:gapWidth val="150"/>
        <c:overlap val="100"/>
        <c:axId val="23012880"/>
        <c:axId val="23006160"/>
      </c:barChart>
      <c:catAx>
        <c:axId val="23012880"/>
        <c:scaling>
          <c:orientation val="minMax"/>
        </c:scaling>
        <c:delete val="0"/>
        <c:axPos val="l"/>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23006160"/>
        <c:crosses val="autoZero"/>
        <c:auto val="1"/>
        <c:lblAlgn val="ctr"/>
        <c:lblOffset val="100"/>
        <c:noMultiLvlLbl val="0"/>
      </c:catAx>
      <c:valAx>
        <c:axId val="23006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12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plotSurface>
          <cx:spPr>
            <a:solidFill>
              <a:schemeClr val="accent6">
                <a:lumMod val="60000"/>
                <a:lumOff val="40000"/>
              </a:schemeClr>
            </a:solidFill>
          </cx:spPr>
        </cx:plotSurface>
        <cx:series layoutId="clusteredColumn" uniqueId="{6DD1DFE3-F4FD-451F-8B82-7895D4AEFD0F}">
          <cx:tx>
            <cx:txData>
              <cx:f>_xlchart.v1.5</cx:f>
              <cx:v>frequency</cx:v>
            </cx:txData>
          </cx:tx>
          <cx:spPr>
            <a:ln>
              <a:noFill/>
            </a:ln>
          </cx:spPr>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a:solidFill>
                  <a:schemeClr val="accent2">
                    <a:lumMod val="50000"/>
                  </a:schemeClr>
                </a:solidFill>
              </a:defRPr>
            </a:pPr>
            <a:endParaRPr lang="en-US" sz="900" b="0" i="0" u="none" strike="noStrike" baseline="0">
              <a:solidFill>
                <a:schemeClr val="accent2">
                  <a:lumMod val="50000"/>
                </a:schemeClr>
              </a:solidFill>
              <a:latin typeface="Calibri"/>
            </a:endParaRPr>
          </a:p>
        </cx:txPr>
      </cx:axis>
      <cx:axis id="1">
        <cx:valScaling/>
        <cx:majorGridlines/>
        <cx:tickLabels/>
        <cx:txPr>
          <a:bodyPr spcFirstLastPara="1" vertOverflow="ellipsis" horzOverflow="overflow" wrap="square" lIns="0" tIns="0" rIns="0" bIns="0" anchor="ctr" anchorCtr="1"/>
          <a:lstStyle/>
          <a:p>
            <a:pPr algn="ctr" rtl="0">
              <a:defRPr>
                <a:solidFill>
                  <a:schemeClr val="accent2">
                    <a:lumMod val="50000"/>
                  </a:schemeClr>
                </a:solidFill>
              </a:defRPr>
            </a:pPr>
            <a:endParaRPr lang="en-US" sz="900" b="0" i="0" u="none" strike="noStrike" baseline="0">
              <a:solidFill>
                <a:schemeClr val="accent2">
                  <a:lumMod val="50000"/>
                </a:schemeClr>
              </a:solidFill>
              <a:latin typeface="Calibri"/>
            </a:endParaRPr>
          </a:p>
        </cx:txPr>
      </cx:axis>
    </cx:plotArea>
  </cx:chart>
  <cx:spPr>
    <a:solidFill>
      <a:schemeClr val="accent6">
        <a:lumMod val="60000"/>
        <a:lumOff val="40000"/>
      </a:schemeClr>
    </a:solid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plotSurface>
          <cx:spPr>
            <a:ln>
              <a:noFill/>
            </a:ln>
          </cx:spPr>
        </cx:plotSurface>
        <cx:series layoutId="clusteredColumn" uniqueId="{CF313B97-C0FB-41B8-BB96-0DFD5AF7E151}">
          <cx:dataId val="0"/>
          <cx:layoutPr>
            <cx:binning intervalClosed="r"/>
          </cx:layoutPr>
        </cx:series>
      </cx:plotAreaRegion>
      <cx:axis id="0">
        <cx:catScaling gapWidth="0"/>
        <cx:tickLabels/>
        <cx:spPr>
          <a:ln>
            <a:noFill/>
          </a:ln>
        </cx:spPr>
        <cx:txPr>
          <a:bodyPr spcFirstLastPara="1" vertOverflow="ellipsis" horzOverflow="overflow" wrap="square" lIns="0" tIns="0" rIns="0" bIns="0" anchor="ctr" anchorCtr="1"/>
          <a:lstStyle/>
          <a:p>
            <a:pPr algn="ctr" rtl="0">
              <a:defRPr>
                <a:solidFill>
                  <a:schemeClr val="accent2">
                    <a:lumMod val="50000"/>
                  </a:schemeClr>
                </a:solidFill>
              </a:defRPr>
            </a:pPr>
            <a:endParaRPr lang="en-US" sz="900" b="0" i="0" u="none" strike="noStrike" baseline="0">
              <a:solidFill>
                <a:schemeClr val="accent2">
                  <a:lumMod val="50000"/>
                </a:schemeClr>
              </a:solidFill>
              <a:latin typeface="Calibri"/>
            </a:endParaRPr>
          </a:p>
        </cx:txPr>
      </cx:axis>
      <cx:axis id="1">
        <cx:valScaling/>
        <cx:majorGridlines/>
        <cx:tickLabels/>
        <cx:spPr>
          <a:ln>
            <a:noFill/>
          </a:ln>
        </cx:spPr>
        <cx:txPr>
          <a:bodyPr spcFirstLastPara="1" vertOverflow="ellipsis" horzOverflow="overflow" wrap="square" lIns="0" tIns="0" rIns="0" bIns="0" anchor="ctr" anchorCtr="1"/>
          <a:lstStyle/>
          <a:p>
            <a:pPr algn="ctr" rtl="0">
              <a:defRPr>
                <a:solidFill>
                  <a:schemeClr val="accent2">
                    <a:lumMod val="50000"/>
                  </a:schemeClr>
                </a:solidFill>
              </a:defRPr>
            </a:pPr>
            <a:endParaRPr lang="en-US" sz="900" b="0" i="0" u="none" strike="noStrike" baseline="0">
              <a:solidFill>
                <a:schemeClr val="accent2">
                  <a:lumMod val="50000"/>
                </a:schemeClr>
              </a:solidFill>
              <a:latin typeface="Calibri"/>
            </a:endParaRPr>
          </a:p>
        </cx:txPr>
      </cx:axis>
    </cx:plotArea>
  </cx:chart>
  <cx:spPr>
    <a:solidFill>
      <a:schemeClr val="accent6">
        <a:lumMod val="60000"/>
        <a:lumOff val="40000"/>
      </a:schemeClr>
    </a:solid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plotArea>
      <cx:plotAreaRegion>
        <cx:plotSurface>
          <cx:spPr>
            <a:solidFill>
              <a:schemeClr val="accent6">
                <a:lumMod val="60000"/>
                <a:lumOff val="40000"/>
              </a:schemeClr>
            </a:solidFill>
          </cx:spPr>
        </cx:plotSurface>
        <cx:series layoutId="clusteredColumn" uniqueId="{890FB740-B0FA-4539-92A5-EFB8610D4F3C}">
          <cx:spPr>
            <a:ln>
              <a:noFill/>
            </a:ln>
          </cx:spPr>
          <cx:dataId val="0"/>
          <cx:layoutPr>
            <cx:binning intervalClosed="r"/>
          </cx:layoutPr>
        </cx:series>
      </cx:plotAreaRegion>
      <cx:axis id="0">
        <cx:catScaling gapWidth="0"/>
        <cx:tickLabels/>
        <cx:spPr>
          <a:ln>
            <a:noFill/>
          </a:ln>
        </cx:spPr>
        <cx:txPr>
          <a:bodyPr spcFirstLastPara="1" vertOverflow="ellipsis" horzOverflow="overflow" wrap="square" lIns="0" tIns="0" rIns="0" bIns="0" anchor="ctr" anchorCtr="1"/>
          <a:lstStyle/>
          <a:p>
            <a:pPr algn="ctr" rtl="0">
              <a:defRPr>
                <a:solidFill>
                  <a:schemeClr val="accent2">
                    <a:lumMod val="50000"/>
                  </a:schemeClr>
                </a:solidFill>
              </a:defRPr>
            </a:pPr>
            <a:endParaRPr lang="en-US" sz="900" b="0" i="0" u="none" strike="noStrike" baseline="0">
              <a:solidFill>
                <a:schemeClr val="accent2">
                  <a:lumMod val="50000"/>
                </a:schemeClr>
              </a:solidFill>
              <a:latin typeface="Calibri"/>
            </a:endParaRPr>
          </a:p>
        </cx:txPr>
      </cx:axis>
      <cx:axis id="1">
        <cx:valScaling/>
        <cx:majorGridlines/>
        <cx:tickLabels/>
        <cx:spPr>
          <a:ln>
            <a:noFill/>
          </a:ln>
        </cx:spPr>
        <cx:txPr>
          <a:bodyPr spcFirstLastPara="1" vertOverflow="ellipsis" horzOverflow="overflow" wrap="square" lIns="0" tIns="0" rIns="0" bIns="0" anchor="ctr" anchorCtr="1"/>
          <a:lstStyle/>
          <a:p>
            <a:pPr algn="ctr" rtl="0">
              <a:defRPr>
                <a:solidFill>
                  <a:schemeClr val="accent2">
                    <a:lumMod val="50000"/>
                  </a:schemeClr>
                </a:solidFill>
              </a:defRPr>
            </a:pPr>
            <a:endParaRPr lang="en-US" sz="900" b="0" i="0" u="none" strike="noStrike" baseline="0">
              <a:solidFill>
                <a:schemeClr val="accent2">
                  <a:lumMod val="50000"/>
                </a:schemeClr>
              </a:solidFill>
              <a:latin typeface="Calibri"/>
            </a:endParaRPr>
          </a:p>
        </cx:txPr>
      </cx:axis>
    </cx:plotArea>
  </cx:chart>
  <cx:spPr>
    <a:solidFill>
      <a:schemeClr val="accent6">
        <a:lumMod val="60000"/>
        <a:lumOff val="40000"/>
      </a:schemeClr>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plotArea>
      <cx:plotAreaRegion>
        <cx:plotSurface>
          <cx:spPr>
            <a:solidFill>
              <a:schemeClr val="accent6">
                <a:lumMod val="60000"/>
                <a:lumOff val="40000"/>
              </a:schemeClr>
            </a:solidFill>
            <a:ln>
              <a:noFill/>
            </a:ln>
          </cx:spPr>
        </cx:plotSurface>
        <cx:series layoutId="clusteredColumn" uniqueId="{88D38F7D-9877-48D6-9AD8-A03D1B1EBE5C}">
          <cx:tx>
            <cx:txData>
              <cx:f>_xlchart.v1.1</cx:f>
              <cx:v>Response Times</cx:v>
            </cx:txData>
          </cx:tx>
          <cx:dataId val="0"/>
          <cx:layoutPr>
            <cx:binning intervalClosed="r"/>
          </cx:layoutPr>
        </cx:series>
      </cx:plotAreaRegion>
      <cx:axis id="0">
        <cx:catScaling gapWidth="0"/>
        <cx:tickLabels/>
        <cx:spPr>
          <a:ln>
            <a:noFill/>
          </a:ln>
        </cx:spPr>
        <cx:txPr>
          <a:bodyPr vertOverflow="overflow" horzOverflow="overflow" wrap="square" lIns="0" tIns="0" rIns="0" bIns="0"/>
          <a:lstStyle/>
          <a:p>
            <a:pPr algn="ctr" rtl="0">
              <a:defRPr sz="900" b="0" i="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accent2">
                  <a:lumMod val="75000"/>
                </a:schemeClr>
              </a:solidFill>
            </a:endParaRPr>
          </a:p>
        </cx:txPr>
      </cx:axis>
      <cx:axis id="1">
        <cx:valScaling/>
        <cx:majorGridlines/>
        <cx:tickLabels/>
        <cx:spPr>
          <a:ln>
            <a:noFill/>
          </a:ln>
        </cx:spPr>
        <cx:txPr>
          <a:bodyPr vertOverflow="overflow" horzOverflow="overflow" wrap="square" lIns="0" tIns="0" rIns="0" bIns="0"/>
          <a:lstStyle/>
          <a:p>
            <a:pPr algn="ctr" rtl="0">
              <a:defRPr sz="900" b="0" i="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defRPr>
            </a:pPr>
            <a:endParaRPr lang="en-US">
              <a:solidFill>
                <a:schemeClr val="accent2">
                  <a:lumMod val="75000"/>
                </a:schemeClr>
              </a:solidFill>
            </a:endParaRPr>
          </a:p>
        </cx:txPr>
      </cx:axis>
    </cx:plotArea>
  </cx:chart>
  <cx:spPr>
    <a:solidFill>
      <a:schemeClr val="accent6">
        <a:lumMod val="60000"/>
        <a:lumOff val="4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2.xml"/><Relationship Id="rId7" Type="http://schemas.microsoft.com/office/2014/relationships/chartEx" Target="../charts/chartEx4.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3.xml"/><Relationship Id="rId5" Type="http://schemas.microsoft.com/office/2014/relationships/chartEx" Target="../charts/chartEx3.xml"/><Relationship Id="rId4" Type="http://schemas.openxmlformats.org/officeDocument/2006/relationships/chart" Target="../charts/chart2.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1028700</xdr:colOff>
      <xdr:row>16</xdr:row>
      <xdr:rowOff>171450</xdr:rowOff>
    </xdr:from>
    <xdr:to>
      <xdr:col>1</xdr:col>
      <xdr:colOff>1600200</xdr:colOff>
      <xdr:row>18</xdr:row>
      <xdr:rowOff>161925</xdr:rowOff>
    </xdr:to>
    <xdr:sp macro="" textlink="">
      <xdr:nvSpPr>
        <xdr:cNvPr id="2" name="Textbox 2">
          <a:extLst>
            <a:ext uri="{FF2B5EF4-FFF2-40B4-BE49-F238E27FC236}">
              <a16:creationId xmlns:a16="http://schemas.microsoft.com/office/drawing/2014/main" id="{00000000-0008-0000-0000-000002000000}"/>
            </a:ext>
          </a:extLst>
        </xdr:cNvPr>
        <xdr:cNvSpPr txBox="1"/>
      </xdr:nvSpPr>
      <xdr:spPr>
        <a:xfrm>
          <a:off x="1028700" y="7077075"/>
          <a:ext cx="2514600" cy="552450"/>
        </a:xfrm>
        <a:prstGeom prst="rect">
          <a:avLst/>
        </a:prstGeom>
      </xdr:spPr>
      <xdr:txBody>
        <a:bodyPr vertOverflow="clip" lIns="0" tIns="0" rIns="0" bIns="0" anchor="t"/>
        <a:lstStyle/>
        <a:p>
          <a:endParaRPr sz="1050" b="0">
            <a:solidFill>
              <a:srgbClr val="0077D4"/>
            </a:solidFill>
            <a:latin typeface="Arial MT"/>
            <a:cs typeface="Arial MT"/>
          </a:endParaRPr>
        </a:p>
      </xdr:txBody>
    </xdr:sp>
    <xdr:clientData/>
  </xdr:twoCellAnchor>
  <xdr:oneCellAnchor>
    <xdr:from>
      <xdr:col>1</xdr:col>
      <xdr:colOff>1815464</xdr:colOff>
      <xdr:row>18</xdr:row>
      <xdr:rowOff>0</xdr:rowOff>
    </xdr:from>
    <xdr:ext cx="3905250" cy="304800"/>
    <xdr:sp macro="" textlink="">
      <xdr:nvSpPr>
        <xdr:cNvPr id="3" name="Textbox 3">
          <a:extLst>
            <a:ext uri="{FF2B5EF4-FFF2-40B4-BE49-F238E27FC236}">
              <a16:creationId xmlns:a16="http://schemas.microsoft.com/office/drawing/2014/main" id="{00000000-0008-0000-0000-000003000000}"/>
            </a:ext>
          </a:extLst>
        </xdr:cNvPr>
        <xdr:cNvSpPr txBox="1"/>
      </xdr:nvSpPr>
      <xdr:spPr>
        <a:xfrm>
          <a:off x="0" y="0"/>
          <a:ext cx="3905250" cy="304800"/>
        </a:xfrm>
        <a:prstGeom prst="rect">
          <a:avLst/>
        </a:prstGeom>
      </xdr:spPr>
      <xdr:txBody>
        <a:bodyPr vertOverflow="clip" lIns="0" tIns="0" rIns="0" bIns="0" anchor="t"/>
        <a:lstStyle/>
        <a:p>
          <a:endParaRPr lang="en-US" sz="1050" b="0">
            <a:solidFill>
              <a:srgbClr val="0077D4"/>
            </a:solidFill>
            <a:latin typeface="Arial MT"/>
            <a:cs typeface="Arial MT"/>
          </a:endParaRPr>
        </a:p>
      </xdr:txBody>
    </xdr:sp>
    <xdr:clientData/>
  </xdr:oneCellAnchor>
  <xdr:oneCellAnchor>
    <xdr:from>
      <xdr:col>0</xdr:col>
      <xdr:colOff>124673</xdr:colOff>
      <xdr:row>229</xdr:row>
      <xdr:rowOff>1252257</xdr:rowOff>
    </xdr:from>
    <xdr:ext cx="1242695" cy="153670"/>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1242695" cy="153670"/>
        </a:xfrm>
        <a:custGeom>
          <a:avLst/>
          <a:gdLst/>
          <a:ahLst/>
          <a:cxnLst/>
          <a:rect l="0" t="0" r="0" b="0"/>
          <a:pathLst>
            <a:path w="1242695" h="153670">
              <a:moveTo>
                <a:pt x="0" y="96005"/>
              </a:moveTo>
              <a:lnTo>
                <a:pt x="270" y="96005"/>
              </a:lnTo>
              <a:lnTo>
                <a:pt x="451" y="96005"/>
              </a:lnTo>
              <a:lnTo>
                <a:pt x="1620" y="96005"/>
              </a:lnTo>
              <a:lnTo>
                <a:pt x="2790" y="96005"/>
              </a:lnTo>
              <a:lnTo>
                <a:pt x="4246" y="95735"/>
              </a:lnTo>
              <a:lnTo>
                <a:pt x="7018" y="96005"/>
              </a:lnTo>
              <a:lnTo>
                <a:pt x="9789" y="96274"/>
              </a:lnTo>
              <a:lnTo>
                <a:pt x="13796" y="96996"/>
              </a:lnTo>
              <a:lnTo>
                <a:pt x="18248" y="97625"/>
              </a:lnTo>
              <a:lnTo>
                <a:pt x="22700" y="98254"/>
              </a:lnTo>
              <a:lnTo>
                <a:pt x="28112" y="98807"/>
              </a:lnTo>
              <a:lnTo>
                <a:pt x="33727" y="99779"/>
              </a:lnTo>
              <a:lnTo>
                <a:pt x="39343" y="100751"/>
              </a:lnTo>
              <a:lnTo>
                <a:pt x="45618" y="101937"/>
              </a:lnTo>
              <a:lnTo>
                <a:pt x="51941" y="103455"/>
              </a:lnTo>
              <a:lnTo>
                <a:pt x="58265" y="104973"/>
              </a:lnTo>
              <a:lnTo>
                <a:pt x="65255" y="106813"/>
              </a:lnTo>
              <a:lnTo>
                <a:pt x="71668" y="108887"/>
              </a:lnTo>
              <a:lnTo>
                <a:pt x="78081" y="110959"/>
              </a:lnTo>
              <a:lnTo>
                <a:pt x="84240" y="113624"/>
              </a:lnTo>
              <a:lnTo>
                <a:pt x="90418" y="115892"/>
              </a:lnTo>
              <a:lnTo>
                <a:pt x="96596" y="118161"/>
              </a:lnTo>
              <a:lnTo>
                <a:pt x="102643" y="120515"/>
              </a:lnTo>
              <a:lnTo>
                <a:pt x="108734" y="122495"/>
              </a:lnTo>
              <a:lnTo>
                <a:pt x="114824" y="124476"/>
              </a:lnTo>
              <a:lnTo>
                <a:pt x="121139" y="126003"/>
              </a:lnTo>
              <a:lnTo>
                <a:pt x="126961" y="127773"/>
              </a:lnTo>
              <a:lnTo>
                <a:pt x="132782" y="129543"/>
              </a:lnTo>
              <a:lnTo>
                <a:pt x="138427" y="131478"/>
              </a:lnTo>
              <a:lnTo>
                <a:pt x="143665" y="133112"/>
              </a:lnTo>
              <a:lnTo>
                <a:pt x="148903" y="134745"/>
              </a:lnTo>
              <a:lnTo>
                <a:pt x="153793" y="136286"/>
              </a:lnTo>
              <a:lnTo>
                <a:pt x="158389" y="137573"/>
              </a:lnTo>
              <a:lnTo>
                <a:pt x="192886" y="144124"/>
              </a:lnTo>
              <a:lnTo>
                <a:pt x="196207" y="144405"/>
              </a:lnTo>
              <a:lnTo>
                <a:pt x="199366" y="144533"/>
              </a:lnTo>
              <a:lnTo>
                <a:pt x="202520" y="144631"/>
              </a:lnTo>
              <a:lnTo>
                <a:pt x="205673" y="144731"/>
              </a:lnTo>
              <a:lnTo>
                <a:pt x="208734" y="144727"/>
              </a:lnTo>
              <a:lnTo>
                <a:pt x="211808" y="144719"/>
              </a:lnTo>
              <a:lnTo>
                <a:pt x="214882" y="144711"/>
              </a:lnTo>
              <a:lnTo>
                <a:pt x="217912" y="144643"/>
              </a:lnTo>
              <a:lnTo>
                <a:pt x="220964" y="144582"/>
              </a:lnTo>
              <a:lnTo>
                <a:pt x="224016" y="144522"/>
              </a:lnTo>
              <a:lnTo>
                <a:pt x="226787" y="144432"/>
              </a:lnTo>
              <a:lnTo>
                <a:pt x="230119" y="144355"/>
              </a:lnTo>
              <a:lnTo>
                <a:pt x="233452" y="144279"/>
              </a:lnTo>
              <a:lnTo>
                <a:pt x="237242" y="144195"/>
              </a:lnTo>
              <a:lnTo>
                <a:pt x="240959" y="144123"/>
              </a:lnTo>
              <a:lnTo>
                <a:pt x="244676" y="144051"/>
              </a:lnTo>
              <a:lnTo>
                <a:pt x="248602" y="143983"/>
              </a:lnTo>
              <a:lnTo>
                <a:pt x="252419" y="143927"/>
              </a:lnTo>
              <a:lnTo>
                <a:pt x="256236" y="143870"/>
              </a:lnTo>
              <a:lnTo>
                <a:pt x="260103" y="143552"/>
              </a:lnTo>
              <a:lnTo>
                <a:pt x="263862" y="143782"/>
              </a:lnTo>
              <a:lnTo>
                <a:pt x="267620" y="144012"/>
              </a:lnTo>
              <a:lnTo>
                <a:pt x="271341" y="144703"/>
              </a:lnTo>
              <a:lnTo>
                <a:pt x="274971" y="145308"/>
              </a:lnTo>
              <a:lnTo>
                <a:pt x="278602" y="145912"/>
              </a:lnTo>
              <a:lnTo>
                <a:pt x="282157" y="146721"/>
              </a:lnTo>
              <a:lnTo>
                <a:pt x="285647" y="147410"/>
              </a:lnTo>
              <a:lnTo>
                <a:pt x="289137" y="148099"/>
              </a:lnTo>
              <a:lnTo>
                <a:pt x="292544" y="148828"/>
              </a:lnTo>
              <a:lnTo>
                <a:pt x="295911" y="149442"/>
              </a:lnTo>
              <a:lnTo>
                <a:pt x="299277" y="150056"/>
              </a:lnTo>
              <a:lnTo>
                <a:pt x="302302" y="150622"/>
              </a:lnTo>
              <a:lnTo>
                <a:pt x="305845" y="151094"/>
              </a:lnTo>
              <a:lnTo>
                <a:pt x="330501" y="153020"/>
              </a:lnTo>
              <a:lnTo>
                <a:pt x="335275" y="153211"/>
              </a:lnTo>
              <a:lnTo>
                <a:pt x="371660" y="153609"/>
              </a:lnTo>
              <a:lnTo>
                <a:pt x="379407" y="153601"/>
              </a:lnTo>
              <a:lnTo>
                <a:pt x="389513" y="153592"/>
              </a:lnTo>
              <a:lnTo>
                <a:pt x="435041" y="153509"/>
              </a:lnTo>
              <a:lnTo>
                <a:pt x="445546" y="153486"/>
              </a:lnTo>
              <a:lnTo>
                <a:pt x="456468" y="153462"/>
              </a:lnTo>
              <a:lnTo>
                <a:pt x="504029" y="153371"/>
              </a:lnTo>
              <a:lnTo>
                <a:pt x="542292" y="153311"/>
              </a:lnTo>
              <a:lnTo>
                <a:pt x="581072" y="153263"/>
              </a:lnTo>
              <a:lnTo>
                <a:pt x="631385" y="153215"/>
              </a:lnTo>
              <a:lnTo>
                <a:pt x="678580" y="153186"/>
              </a:lnTo>
              <a:lnTo>
                <a:pt x="721016" y="153171"/>
              </a:lnTo>
              <a:lnTo>
                <a:pt x="766023" y="153165"/>
              </a:lnTo>
              <a:lnTo>
                <a:pt x="773611" y="153165"/>
              </a:lnTo>
              <a:lnTo>
                <a:pt x="806410" y="153168"/>
              </a:lnTo>
              <a:lnTo>
                <a:pt x="813990" y="153169"/>
              </a:lnTo>
              <a:lnTo>
                <a:pt x="820462" y="153171"/>
              </a:lnTo>
              <a:lnTo>
                <a:pt x="826344" y="153172"/>
              </a:lnTo>
              <a:lnTo>
                <a:pt x="832227" y="153173"/>
              </a:lnTo>
              <a:lnTo>
                <a:pt x="837132" y="153444"/>
              </a:lnTo>
              <a:lnTo>
                <a:pt x="841705" y="153175"/>
              </a:lnTo>
              <a:lnTo>
                <a:pt x="846279" y="152907"/>
              </a:lnTo>
              <a:lnTo>
                <a:pt x="849566" y="152187"/>
              </a:lnTo>
              <a:lnTo>
                <a:pt x="853789" y="151558"/>
              </a:lnTo>
              <a:lnTo>
                <a:pt x="858012" y="150931"/>
              </a:lnTo>
              <a:lnTo>
                <a:pt x="862362" y="150378"/>
              </a:lnTo>
              <a:lnTo>
                <a:pt x="867042" y="149407"/>
              </a:lnTo>
              <a:lnTo>
                <a:pt x="871722" y="148435"/>
              </a:lnTo>
              <a:lnTo>
                <a:pt x="876675" y="146980"/>
              </a:lnTo>
              <a:lnTo>
                <a:pt x="881868" y="145732"/>
              </a:lnTo>
              <a:lnTo>
                <a:pt x="887062" y="144484"/>
              </a:lnTo>
              <a:lnTo>
                <a:pt x="892554" y="143095"/>
              </a:lnTo>
              <a:lnTo>
                <a:pt x="898202" y="141922"/>
              </a:lnTo>
              <a:lnTo>
                <a:pt x="903850" y="140748"/>
              </a:lnTo>
              <a:lnTo>
                <a:pt x="910030" y="139628"/>
              </a:lnTo>
              <a:lnTo>
                <a:pt x="915755" y="138691"/>
              </a:lnTo>
              <a:lnTo>
                <a:pt x="921480" y="137754"/>
              </a:lnTo>
              <a:lnTo>
                <a:pt x="927223" y="136959"/>
              </a:lnTo>
              <a:lnTo>
                <a:pt x="932554" y="136299"/>
              </a:lnTo>
              <a:lnTo>
                <a:pt x="937885" y="135639"/>
              </a:lnTo>
              <a:lnTo>
                <a:pt x="942973" y="135412"/>
              </a:lnTo>
              <a:lnTo>
                <a:pt x="947741" y="134733"/>
              </a:lnTo>
              <a:lnTo>
                <a:pt x="952509" y="134055"/>
              </a:lnTo>
              <a:lnTo>
                <a:pt x="956945" y="133070"/>
              </a:lnTo>
              <a:lnTo>
                <a:pt x="961161" y="132226"/>
              </a:lnTo>
              <a:lnTo>
                <a:pt x="965377" y="131384"/>
              </a:lnTo>
              <a:lnTo>
                <a:pt x="969273" y="130457"/>
              </a:lnTo>
              <a:lnTo>
                <a:pt x="973037" y="129676"/>
              </a:lnTo>
              <a:lnTo>
                <a:pt x="976801" y="128894"/>
              </a:lnTo>
              <a:lnTo>
                <a:pt x="980305" y="128154"/>
              </a:lnTo>
              <a:lnTo>
                <a:pt x="983743" y="127537"/>
              </a:lnTo>
              <a:lnTo>
                <a:pt x="987181" y="126918"/>
              </a:lnTo>
              <a:lnTo>
                <a:pt x="990434" y="126398"/>
              </a:lnTo>
              <a:lnTo>
                <a:pt x="993664" y="125967"/>
              </a:lnTo>
              <a:lnTo>
                <a:pt x="996895" y="125535"/>
              </a:lnTo>
              <a:lnTo>
                <a:pt x="1000010" y="125213"/>
              </a:lnTo>
              <a:lnTo>
                <a:pt x="1003128" y="124948"/>
              </a:lnTo>
              <a:lnTo>
                <a:pt x="1006246" y="124683"/>
              </a:lnTo>
              <a:lnTo>
                <a:pt x="1027149" y="124082"/>
              </a:lnTo>
              <a:lnTo>
                <a:pt x="1031490" y="124082"/>
              </a:lnTo>
              <a:lnTo>
                <a:pt x="1036175" y="124086"/>
              </a:lnTo>
              <a:lnTo>
                <a:pt x="1040860" y="124089"/>
              </a:lnTo>
              <a:lnTo>
                <a:pt x="1045965" y="124121"/>
              </a:lnTo>
              <a:lnTo>
                <a:pt x="1051293" y="124149"/>
              </a:lnTo>
              <a:lnTo>
                <a:pt x="1056621" y="124177"/>
              </a:lnTo>
              <a:lnTo>
                <a:pt x="1062590" y="124221"/>
              </a:lnTo>
              <a:lnTo>
                <a:pt x="1068145" y="124256"/>
              </a:lnTo>
              <a:lnTo>
                <a:pt x="1073699" y="124293"/>
              </a:lnTo>
              <a:lnTo>
                <a:pt x="1079086" y="124334"/>
              </a:lnTo>
              <a:lnTo>
                <a:pt x="1084620" y="124368"/>
              </a:lnTo>
              <a:lnTo>
                <a:pt x="1090154" y="124402"/>
              </a:lnTo>
              <a:lnTo>
                <a:pt x="1095685" y="124435"/>
              </a:lnTo>
              <a:lnTo>
                <a:pt x="1101348" y="124462"/>
              </a:lnTo>
              <a:lnTo>
                <a:pt x="1107011" y="124490"/>
              </a:lnTo>
              <a:lnTo>
                <a:pt x="1134801" y="124576"/>
              </a:lnTo>
              <a:lnTo>
                <a:pt x="1139925" y="124589"/>
              </a:lnTo>
              <a:lnTo>
                <a:pt x="1144777" y="124597"/>
              </a:lnTo>
              <a:lnTo>
                <a:pt x="1149344" y="124602"/>
              </a:lnTo>
              <a:lnTo>
                <a:pt x="1153912" y="124608"/>
              </a:lnTo>
              <a:lnTo>
                <a:pt x="1158154" y="124611"/>
              </a:lnTo>
              <a:lnTo>
                <a:pt x="1162207" y="124614"/>
              </a:lnTo>
              <a:lnTo>
                <a:pt x="1166260" y="124616"/>
              </a:lnTo>
              <a:lnTo>
                <a:pt x="1170016" y="124616"/>
              </a:lnTo>
              <a:lnTo>
                <a:pt x="1173663" y="124616"/>
              </a:lnTo>
              <a:lnTo>
                <a:pt x="1177310" y="124616"/>
              </a:lnTo>
              <a:lnTo>
                <a:pt x="1180725" y="124615"/>
              </a:lnTo>
              <a:lnTo>
                <a:pt x="1184089" y="124614"/>
              </a:lnTo>
              <a:lnTo>
                <a:pt x="1187454" y="124612"/>
              </a:lnTo>
              <a:lnTo>
                <a:pt x="1190388" y="124611"/>
              </a:lnTo>
              <a:lnTo>
                <a:pt x="1193849" y="124609"/>
              </a:lnTo>
              <a:lnTo>
                <a:pt x="1197311" y="124607"/>
              </a:lnTo>
              <a:lnTo>
                <a:pt x="1201126" y="124606"/>
              </a:lnTo>
              <a:lnTo>
                <a:pt x="1204858" y="124604"/>
              </a:lnTo>
              <a:lnTo>
                <a:pt x="1208590" y="124603"/>
              </a:lnTo>
              <a:lnTo>
                <a:pt x="1212468" y="124601"/>
              </a:lnTo>
              <a:lnTo>
                <a:pt x="1216241" y="124600"/>
              </a:lnTo>
              <a:lnTo>
                <a:pt x="1220014" y="124599"/>
              </a:lnTo>
              <a:lnTo>
                <a:pt x="1224074" y="125138"/>
              </a:lnTo>
              <a:lnTo>
                <a:pt x="1227496" y="124597"/>
              </a:lnTo>
              <a:lnTo>
                <a:pt x="1230919" y="124056"/>
              </a:lnTo>
              <a:lnTo>
                <a:pt x="1234380" y="122883"/>
              </a:lnTo>
              <a:lnTo>
                <a:pt x="1236774" y="121355"/>
              </a:lnTo>
              <a:lnTo>
                <a:pt x="1239170" y="119826"/>
              </a:lnTo>
              <a:lnTo>
                <a:pt x="1241202" y="117997"/>
              </a:lnTo>
              <a:lnTo>
                <a:pt x="1241866" y="115424"/>
              </a:lnTo>
              <a:lnTo>
                <a:pt x="1242530" y="112851"/>
              </a:lnTo>
              <a:lnTo>
                <a:pt x="1241612" y="109385"/>
              </a:lnTo>
              <a:lnTo>
                <a:pt x="1240757" y="105917"/>
              </a:lnTo>
              <a:lnTo>
                <a:pt x="1230323" y="82725"/>
              </a:lnTo>
              <a:lnTo>
                <a:pt x="1227897" y="79047"/>
              </a:lnTo>
              <a:lnTo>
                <a:pt x="1212941" y="63357"/>
              </a:lnTo>
              <a:lnTo>
                <a:pt x="1209761" y="60631"/>
              </a:lnTo>
              <a:lnTo>
                <a:pt x="1175339" y="44568"/>
              </a:lnTo>
              <a:lnTo>
                <a:pt x="1170036" y="42858"/>
              </a:lnTo>
              <a:lnTo>
                <a:pt x="1164041" y="41261"/>
              </a:lnTo>
              <a:lnTo>
                <a:pt x="1157950" y="39417"/>
              </a:lnTo>
              <a:lnTo>
                <a:pt x="1151860" y="37572"/>
              </a:lnTo>
              <a:lnTo>
                <a:pt x="1145596" y="35369"/>
              </a:lnTo>
              <a:lnTo>
                <a:pt x="1138796" y="33501"/>
              </a:lnTo>
              <a:lnTo>
                <a:pt x="1094705" y="24127"/>
              </a:lnTo>
              <a:lnTo>
                <a:pt x="1086980" y="22983"/>
              </a:lnTo>
              <a:lnTo>
                <a:pt x="1078756" y="22355"/>
              </a:lnTo>
              <a:lnTo>
                <a:pt x="1070806" y="21345"/>
              </a:lnTo>
              <a:lnTo>
                <a:pt x="1062856" y="20335"/>
              </a:lnTo>
              <a:lnTo>
                <a:pt x="1054525" y="19107"/>
              </a:lnTo>
              <a:lnTo>
                <a:pt x="1047004" y="18065"/>
              </a:lnTo>
              <a:lnTo>
                <a:pt x="1039482" y="17023"/>
              </a:lnTo>
              <a:lnTo>
                <a:pt x="1032514" y="15975"/>
              </a:lnTo>
              <a:lnTo>
                <a:pt x="1025675" y="15095"/>
              </a:lnTo>
              <a:lnTo>
                <a:pt x="1018836" y="14215"/>
              </a:lnTo>
              <a:lnTo>
                <a:pt x="1012114" y="13703"/>
              </a:lnTo>
              <a:lnTo>
                <a:pt x="1005968" y="12784"/>
              </a:lnTo>
              <a:lnTo>
                <a:pt x="999822" y="11864"/>
              </a:lnTo>
              <a:lnTo>
                <a:pt x="994365" y="10628"/>
              </a:lnTo>
              <a:lnTo>
                <a:pt x="988801" y="9575"/>
              </a:lnTo>
              <a:lnTo>
                <a:pt x="983236" y="8521"/>
              </a:lnTo>
              <a:lnTo>
                <a:pt x="977719" y="7404"/>
              </a:lnTo>
              <a:lnTo>
                <a:pt x="972580" y="6463"/>
              </a:lnTo>
              <a:lnTo>
                <a:pt x="967442" y="5522"/>
              </a:lnTo>
              <a:lnTo>
                <a:pt x="962562" y="4653"/>
              </a:lnTo>
              <a:lnTo>
                <a:pt x="957970" y="3929"/>
              </a:lnTo>
              <a:lnTo>
                <a:pt x="953378" y="3204"/>
              </a:lnTo>
              <a:lnTo>
                <a:pt x="949376" y="2607"/>
              </a:lnTo>
              <a:lnTo>
                <a:pt x="945028" y="2114"/>
              </a:lnTo>
              <a:lnTo>
                <a:pt x="940679" y="1620"/>
              </a:lnTo>
              <a:lnTo>
                <a:pt x="900365" y="102"/>
              </a:lnTo>
              <a:lnTo>
                <a:pt x="894314" y="57"/>
              </a:lnTo>
              <a:lnTo>
                <a:pt x="887541" y="68"/>
              </a:lnTo>
              <a:lnTo>
                <a:pt x="881307" y="81"/>
              </a:lnTo>
              <a:lnTo>
                <a:pt x="875074" y="93"/>
              </a:lnTo>
              <a:lnTo>
                <a:pt x="869041" y="137"/>
              </a:lnTo>
              <a:lnTo>
                <a:pt x="862966" y="177"/>
              </a:lnTo>
              <a:lnTo>
                <a:pt x="856891" y="216"/>
              </a:lnTo>
              <a:lnTo>
                <a:pt x="850902" y="0"/>
              </a:lnTo>
              <a:lnTo>
                <a:pt x="844859" y="314"/>
              </a:lnTo>
              <a:lnTo>
                <a:pt x="838816" y="630"/>
              </a:lnTo>
              <a:lnTo>
                <a:pt x="832787" y="1400"/>
              </a:lnTo>
              <a:lnTo>
                <a:pt x="826706" y="2071"/>
              </a:lnTo>
              <a:lnTo>
                <a:pt x="820625" y="2741"/>
              </a:lnTo>
              <a:lnTo>
                <a:pt x="814521" y="3603"/>
              </a:lnTo>
              <a:lnTo>
                <a:pt x="808374" y="4336"/>
              </a:lnTo>
              <a:lnTo>
                <a:pt x="778080" y="7426"/>
              </a:lnTo>
              <a:lnTo>
                <a:pt x="772707" y="8181"/>
              </a:lnTo>
              <a:lnTo>
                <a:pt x="767333" y="8936"/>
              </a:lnTo>
              <a:lnTo>
                <a:pt x="762572" y="10050"/>
              </a:lnTo>
              <a:lnTo>
                <a:pt x="757588" y="11005"/>
              </a:lnTo>
              <a:lnTo>
                <a:pt x="752603" y="11958"/>
              </a:lnTo>
              <a:lnTo>
                <a:pt x="747822" y="13014"/>
              </a:lnTo>
              <a:lnTo>
                <a:pt x="742798" y="13906"/>
              </a:lnTo>
              <a:lnTo>
                <a:pt x="737775" y="14797"/>
              </a:lnTo>
              <a:lnTo>
                <a:pt x="732446" y="15644"/>
              </a:lnTo>
              <a:lnTo>
                <a:pt x="727446" y="16353"/>
              </a:lnTo>
              <a:lnTo>
                <a:pt x="722447" y="17061"/>
              </a:lnTo>
              <a:lnTo>
                <a:pt x="699380" y="19332"/>
              </a:lnTo>
              <a:lnTo>
                <a:pt x="694849" y="19639"/>
              </a:lnTo>
              <a:lnTo>
                <a:pt x="672386" y="20286"/>
              </a:lnTo>
              <a:lnTo>
                <a:pt x="668128" y="20344"/>
              </a:lnTo>
              <a:lnTo>
                <a:pt x="664016" y="20346"/>
              </a:lnTo>
              <a:lnTo>
                <a:pt x="660062" y="20344"/>
              </a:lnTo>
              <a:lnTo>
                <a:pt x="656108" y="20342"/>
              </a:lnTo>
              <a:lnTo>
                <a:pt x="652602" y="20307"/>
              </a:lnTo>
              <a:lnTo>
                <a:pt x="648662" y="20274"/>
              </a:lnTo>
              <a:lnTo>
                <a:pt x="644722" y="20243"/>
              </a:lnTo>
              <a:lnTo>
                <a:pt x="640765" y="19925"/>
              </a:lnTo>
              <a:lnTo>
                <a:pt x="636421" y="20153"/>
              </a:lnTo>
              <a:lnTo>
                <a:pt x="632077" y="20383"/>
              </a:lnTo>
              <a:lnTo>
                <a:pt x="627216" y="21057"/>
              </a:lnTo>
              <a:lnTo>
                <a:pt x="622598" y="21648"/>
              </a:lnTo>
              <a:lnTo>
                <a:pt x="617981" y="22238"/>
              </a:lnTo>
              <a:lnTo>
                <a:pt x="613224" y="23024"/>
              </a:lnTo>
              <a:lnTo>
                <a:pt x="608714" y="23694"/>
              </a:lnTo>
              <a:lnTo>
                <a:pt x="604204" y="24365"/>
              </a:lnTo>
              <a:lnTo>
                <a:pt x="599768" y="24803"/>
              </a:lnTo>
              <a:lnTo>
                <a:pt x="595539" y="25671"/>
              </a:lnTo>
              <a:lnTo>
                <a:pt x="591309" y="26537"/>
              </a:lnTo>
              <a:lnTo>
                <a:pt x="587247" y="27807"/>
              </a:lnTo>
              <a:lnTo>
                <a:pt x="583337" y="28895"/>
              </a:lnTo>
              <a:lnTo>
                <a:pt x="579426" y="29982"/>
              </a:lnTo>
              <a:lnTo>
                <a:pt x="575702" y="31183"/>
              </a:lnTo>
              <a:lnTo>
                <a:pt x="572075" y="32195"/>
              </a:lnTo>
              <a:lnTo>
                <a:pt x="568448" y="33208"/>
              </a:lnTo>
              <a:lnTo>
                <a:pt x="564985" y="34170"/>
              </a:lnTo>
              <a:lnTo>
                <a:pt x="561577" y="34973"/>
              </a:lnTo>
              <a:lnTo>
                <a:pt x="558168" y="35776"/>
              </a:lnTo>
              <a:lnTo>
                <a:pt x="554885" y="36455"/>
              </a:lnTo>
              <a:lnTo>
                <a:pt x="551625" y="37017"/>
              </a:lnTo>
              <a:lnTo>
                <a:pt x="548365" y="37579"/>
              </a:lnTo>
              <a:lnTo>
                <a:pt x="545188" y="38000"/>
              </a:lnTo>
              <a:lnTo>
                <a:pt x="542016" y="38346"/>
              </a:lnTo>
              <a:lnTo>
                <a:pt x="538844" y="38692"/>
              </a:lnTo>
              <a:lnTo>
                <a:pt x="535722" y="38913"/>
              </a:lnTo>
              <a:lnTo>
                <a:pt x="532593" y="39092"/>
              </a:lnTo>
              <a:lnTo>
                <a:pt x="529464" y="39272"/>
              </a:lnTo>
              <a:lnTo>
                <a:pt x="526358" y="39355"/>
              </a:lnTo>
              <a:lnTo>
                <a:pt x="523242" y="39420"/>
              </a:lnTo>
              <a:lnTo>
                <a:pt x="520127" y="39485"/>
              </a:lnTo>
              <a:lnTo>
                <a:pt x="517018" y="39486"/>
              </a:lnTo>
              <a:lnTo>
                <a:pt x="513898" y="39483"/>
              </a:lnTo>
              <a:lnTo>
                <a:pt x="510778" y="39481"/>
              </a:lnTo>
              <a:lnTo>
                <a:pt x="507655" y="39439"/>
              </a:lnTo>
              <a:lnTo>
                <a:pt x="504524" y="39403"/>
              </a:lnTo>
              <a:lnTo>
                <a:pt x="501392" y="39367"/>
              </a:lnTo>
              <a:lnTo>
                <a:pt x="498253" y="39312"/>
              </a:lnTo>
              <a:lnTo>
                <a:pt x="495108" y="39265"/>
              </a:lnTo>
              <a:lnTo>
                <a:pt x="491962" y="39217"/>
              </a:lnTo>
              <a:lnTo>
                <a:pt x="488808" y="38896"/>
              </a:lnTo>
              <a:lnTo>
                <a:pt x="485650" y="39121"/>
              </a:lnTo>
              <a:lnTo>
                <a:pt x="482492" y="39347"/>
              </a:lnTo>
              <a:lnTo>
                <a:pt x="479327" y="40026"/>
              </a:lnTo>
              <a:lnTo>
                <a:pt x="476160" y="40620"/>
              </a:lnTo>
              <a:lnTo>
                <a:pt x="472992" y="41213"/>
              </a:lnTo>
              <a:lnTo>
                <a:pt x="469819" y="42007"/>
              </a:lnTo>
              <a:lnTo>
                <a:pt x="466645" y="42684"/>
              </a:lnTo>
              <a:lnTo>
                <a:pt x="463471" y="43360"/>
              </a:lnTo>
              <a:lnTo>
                <a:pt x="426871" y="48196"/>
              </a:lnTo>
              <a:lnTo>
                <a:pt x="422791" y="48383"/>
              </a:lnTo>
              <a:lnTo>
                <a:pt x="418065" y="48497"/>
              </a:lnTo>
              <a:lnTo>
                <a:pt x="413553" y="48589"/>
              </a:lnTo>
              <a:lnTo>
                <a:pt x="409042" y="48680"/>
              </a:lnTo>
              <a:lnTo>
                <a:pt x="404572" y="48717"/>
              </a:lnTo>
              <a:lnTo>
                <a:pt x="399802" y="48745"/>
              </a:lnTo>
              <a:lnTo>
                <a:pt x="395031" y="48774"/>
              </a:lnTo>
              <a:lnTo>
                <a:pt x="390099" y="48766"/>
              </a:lnTo>
              <a:lnTo>
                <a:pt x="384929" y="48758"/>
              </a:lnTo>
              <a:lnTo>
                <a:pt x="379759" y="48750"/>
              </a:lnTo>
              <a:lnTo>
                <a:pt x="374624" y="48721"/>
              </a:lnTo>
              <a:lnTo>
                <a:pt x="368783" y="48696"/>
              </a:lnTo>
              <a:lnTo>
                <a:pt x="362942" y="48671"/>
              </a:lnTo>
              <a:lnTo>
                <a:pt x="356687" y="48636"/>
              </a:lnTo>
              <a:lnTo>
                <a:pt x="349882" y="48607"/>
              </a:lnTo>
              <a:lnTo>
                <a:pt x="343078" y="48578"/>
              </a:lnTo>
              <a:lnTo>
                <a:pt x="335435" y="48546"/>
              </a:lnTo>
              <a:lnTo>
                <a:pt x="327955" y="48520"/>
              </a:lnTo>
              <a:lnTo>
                <a:pt x="320475" y="48493"/>
              </a:lnTo>
              <a:lnTo>
                <a:pt x="312358" y="48469"/>
              </a:lnTo>
              <a:lnTo>
                <a:pt x="305001" y="48448"/>
              </a:lnTo>
              <a:lnTo>
                <a:pt x="297644" y="48428"/>
              </a:lnTo>
              <a:lnTo>
                <a:pt x="290399" y="48411"/>
              </a:lnTo>
              <a:lnTo>
                <a:pt x="283814" y="48397"/>
              </a:lnTo>
              <a:lnTo>
                <a:pt x="277230" y="48383"/>
              </a:lnTo>
              <a:lnTo>
                <a:pt x="248476" y="48347"/>
              </a:lnTo>
              <a:lnTo>
                <a:pt x="243125" y="48342"/>
              </a:lnTo>
              <a:lnTo>
                <a:pt x="238097" y="48341"/>
              </a:lnTo>
              <a:lnTo>
                <a:pt x="233385" y="48339"/>
              </a:lnTo>
              <a:lnTo>
                <a:pt x="228672" y="48338"/>
              </a:lnTo>
              <a:lnTo>
                <a:pt x="224603" y="48338"/>
              </a:lnTo>
              <a:lnTo>
                <a:pt x="220200" y="48338"/>
              </a:lnTo>
              <a:lnTo>
                <a:pt x="215798" y="48338"/>
              </a:lnTo>
              <a:lnTo>
                <a:pt x="211279" y="48340"/>
              </a:lnTo>
              <a:lnTo>
                <a:pt x="206969" y="48341"/>
              </a:lnTo>
              <a:lnTo>
                <a:pt x="202660" y="48342"/>
              </a:lnTo>
              <a:lnTo>
                <a:pt x="198414" y="48344"/>
              </a:lnTo>
              <a:lnTo>
                <a:pt x="194343" y="48345"/>
              </a:lnTo>
              <a:lnTo>
                <a:pt x="190273" y="48346"/>
              </a:lnTo>
              <a:lnTo>
                <a:pt x="186345" y="48347"/>
              </a:lnTo>
              <a:lnTo>
                <a:pt x="182545" y="48348"/>
              </a:lnTo>
              <a:lnTo>
                <a:pt x="178746" y="48349"/>
              </a:lnTo>
              <a:lnTo>
                <a:pt x="175105" y="48351"/>
              </a:lnTo>
              <a:lnTo>
                <a:pt x="171547" y="48352"/>
              </a:lnTo>
              <a:lnTo>
                <a:pt x="167988" y="48352"/>
              </a:lnTo>
              <a:lnTo>
                <a:pt x="164569" y="48354"/>
              </a:lnTo>
              <a:lnTo>
                <a:pt x="161196" y="48354"/>
              </a:lnTo>
              <a:lnTo>
                <a:pt x="157823" y="48355"/>
              </a:lnTo>
              <a:lnTo>
                <a:pt x="153746" y="48355"/>
              </a:lnTo>
              <a:lnTo>
                <a:pt x="151309" y="48355"/>
              </a:lnTo>
              <a:lnTo>
                <a:pt x="148872" y="48356"/>
              </a:lnTo>
              <a:lnTo>
                <a:pt x="147319" y="48356"/>
              </a:lnTo>
              <a:lnTo>
                <a:pt x="146575" y="48356"/>
              </a:lnTo>
              <a:lnTo>
                <a:pt x="145831" y="48356"/>
              </a:lnTo>
              <a:lnTo>
                <a:pt x="146075" y="48086"/>
              </a:lnTo>
              <a:lnTo>
                <a:pt x="146844" y="48356"/>
              </a:lnTo>
              <a:lnTo>
                <a:pt x="147613" y="48627"/>
              </a:lnTo>
              <a:lnTo>
                <a:pt x="148714" y="49078"/>
              </a:lnTo>
              <a:lnTo>
                <a:pt x="151190" y="49977"/>
              </a:lnTo>
              <a:lnTo>
                <a:pt x="153665" y="50875"/>
              </a:lnTo>
              <a:lnTo>
                <a:pt x="157709" y="52420"/>
              </a:lnTo>
              <a:lnTo>
                <a:pt x="161697" y="53751"/>
              </a:lnTo>
              <a:lnTo>
                <a:pt x="165685" y="55082"/>
              </a:lnTo>
              <a:lnTo>
                <a:pt x="170242" y="56641"/>
              </a:lnTo>
              <a:lnTo>
                <a:pt x="175120" y="57961"/>
              </a:lnTo>
              <a:lnTo>
                <a:pt x="179997" y="59282"/>
              </a:lnTo>
              <a:lnTo>
                <a:pt x="185657" y="60583"/>
              </a:lnTo>
              <a:lnTo>
                <a:pt x="190960" y="61674"/>
              </a:lnTo>
              <a:lnTo>
                <a:pt x="196263" y="62765"/>
              </a:lnTo>
              <a:lnTo>
                <a:pt x="221887" y="66416"/>
              </a:lnTo>
              <a:lnTo>
                <a:pt x="226901" y="66923"/>
              </a:lnTo>
              <a:lnTo>
                <a:pt x="252922" y="68083"/>
              </a:lnTo>
              <a:lnTo>
                <a:pt x="258374" y="68199"/>
              </a:lnTo>
              <a:lnTo>
                <a:pt x="264263" y="68224"/>
              </a:lnTo>
              <a:lnTo>
                <a:pt x="269740" y="68240"/>
              </a:lnTo>
              <a:lnTo>
                <a:pt x="275216" y="68256"/>
              </a:lnTo>
              <a:lnTo>
                <a:pt x="280682" y="68215"/>
              </a:lnTo>
              <a:lnTo>
                <a:pt x="285779" y="68178"/>
              </a:lnTo>
              <a:lnTo>
                <a:pt x="290877" y="68141"/>
              </a:lnTo>
              <a:lnTo>
                <a:pt x="295472" y="68075"/>
              </a:lnTo>
              <a:lnTo>
                <a:pt x="300324" y="68018"/>
              </a:lnTo>
              <a:lnTo>
                <a:pt x="305176" y="67960"/>
              </a:lnTo>
              <a:lnTo>
                <a:pt x="309635" y="67623"/>
              </a:lnTo>
              <a:lnTo>
                <a:pt x="314890" y="67836"/>
              </a:lnTo>
              <a:lnTo>
                <a:pt x="320145" y="68048"/>
              </a:lnTo>
              <a:lnTo>
                <a:pt x="325669" y="68712"/>
              </a:lnTo>
              <a:lnTo>
                <a:pt x="331853" y="69292"/>
              </a:lnTo>
              <a:lnTo>
                <a:pt x="338037" y="69874"/>
              </a:lnTo>
              <a:lnTo>
                <a:pt x="344505" y="70385"/>
              </a:lnTo>
              <a:lnTo>
                <a:pt x="351993" y="71322"/>
              </a:lnTo>
              <a:lnTo>
                <a:pt x="359481" y="72259"/>
              </a:lnTo>
              <a:lnTo>
                <a:pt x="367483" y="73688"/>
              </a:lnTo>
              <a:lnTo>
                <a:pt x="376781" y="74913"/>
              </a:lnTo>
              <a:lnTo>
                <a:pt x="383917" y="75816"/>
              </a:lnTo>
              <a:lnTo>
                <a:pt x="391421" y="76716"/>
              </a:lnTo>
              <a:lnTo>
                <a:pt x="399355" y="77654"/>
              </a:lnTo>
              <a:lnTo>
                <a:pt x="407783" y="78674"/>
              </a:lnTo>
              <a:lnTo>
                <a:pt x="416767" y="79812"/>
              </a:lnTo>
              <a:lnTo>
                <a:pt x="426259" y="81039"/>
              </a:lnTo>
              <a:lnTo>
                <a:pt x="436154" y="82289"/>
              </a:lnTo>
              <a:lnTo>
                <a:pt x="478795" y="86976"/>
              </a:lnTo>
              <a:lnTo>
                <a:pt x="526807" y="90854"/>
              </a:lnTo>
              <a:lnTo>
                <a:pt x="575459" y="93669"/>
              </a:lnTo>
              <a:lnTo>
                <a:pt x="618440" y="95473"/>
              </a:lnTo>
              <a:lnTo>
                <a:pt x="652938" y="96488"/>
              </a:lnTo>
              <a:lnTo>
                <a:pt x="658156" y="96618"/>
              </a:lnTo>
            </a:path>
          </a:pathLst>
        </a:custGeom>
        <a:ln w="152400">
          <a:solidFill>
            <a:srgbClr val="FFFFFF"/>
          </a:solidFill>
        </a:ln>
      </xdr:spPr>
    </xdr:sp>
    <xdr:clientData/>
  </xdr:oneCellAnchor>
  <xdr:twoCellAnchor editAs="oneCell">
    <xdr:from>
      <xdr:col>0</xdr:col>
      <xdr:colOff>296288</xdr:colOff>
      <xdr:row>229</xdr:row>
      <xdr:rowOff>1262191</xdr:rowOff>
    </xdr:from>
    <xdr:to>
      <xdr:col>0</xdr:col>
      <xdr:colOff>1850768</xdr:colOff>
      <xdr:row>229</xdr:row>
      <xdr:rowOff>1478091</xdr:rowOff>
    </xdr:to>
    <xdr:sp macro="" textlink="">
      <xdr:nvSpPr>
        <xdr:cNvPr id="5" name="Textbox 5">
          <a:extLst>
            <a:ext uri="{FF2B5EF4-FFF2-40B4-BE49-F238E27FC236}">
              <a16:creationId xmlns:a16="http://schemas.microsoft.com/office/drawing/2014/main" id="{00000000-0008-0000-0000-000005000000}"/>
            </a:ext>
          </a:extLst>
        </xdr:cNvPr>
        <xdr:cNvSpPr txBox="1"/>
      </xdr:nvSpPr>
      <xdr:spPr>
        <a:xfrm>
          <a:off x="0" y="0"/>
          <a:ext cx="1554480" cy="219710"/>
        </a:xfrm>
        <a:prstGeom prst="rect">
          <a:avLst/>
        </a:prstGeom>
      </xdr:spPr>
      <xdr:txBody>
        <a:bodyPr vertOverflow="clip" lIns="0" tIns="0" rIns="0" bIns="0" anchor="t"/>
        <a:lstStyle/>
        <a:p>
          <a:endParaRPr sz="1500" b="0">
            <a:latin typeface="Arial MT"/>
            <a:cs typeface="Arial MT"/>
          </a:endParaRPr>
        </a:p>
      </xdr:txBody>
    </xdr:sp>
    <xdr:clientData/>
  </xdr:twoCellAnchor>
  <xdr:oneCellAnchor>
    <xdr:from>
      <xdr:col>0</xdr:col>
      <xdr:colOff>774821</xdr:colOff>
      <xdr:row>232</xdr:row>
      <xdr:rowOff>114299</xdr:rowOff>
    </xdr:from>
    <xdr:ext cx="6697345" cy="2465705"/>
    <xdr:sp macro="" textlink="">
      <xdr:nvSpPr>
        <xdr:cNvPr id="6" name="Shape 6">
          <a:extLst>
            <a:ext uri="{FF2B5EF4-FFF2-40B4-BE49-F238E27FC236}">
              <a16:creationId xmlns:a16="http://schemas.microsoft.com/office/drawing/2014/main" id="{00000000-0008-0000-0000-000006000000}"/>
            </a:ext>
          </a:extLst>
        </xdr:cNvPr>
        <xdr:cNvSpPr/>
      </xdr:nvSpPr>
      <xdr:spPr>
        <a:xfrm>
          <a:off x="0" y="0"/>
          <a:ext cx="6697345" cy="2465705"/>
        </a:xfrm>
        <a:custGeom>
          <a:avLst/>
          <a:gdLst/>
          <a:ahLst/>
          <a:cxnLst/>
          <a:rect l="0" t="0" r="0" b="0"/>
          <a:pathLst>
            <a:path w="6697345" h="2465705">
              <a:moveTo>
                <a:pt x="169057" y="86310"/>
              </a:moveTo>
              <a:lnTo>
                <a:pt x="169867" y="86310"/>
              </a:lnTo>
              <a:lnTo>
                <a:pt x="171491" y="86040"/>
              </a:lnTo>
              <a:lnTo>
                <a:pt x="173919" y="86310"/>
              </a:lnTo>
              <a:lnTo>
                <a:pt x="176348" y="86580"/>
              </a:lnTo>
              <a:lnTo>
                <a:pt x="179993" y="87301"/>
              </a:lnTo>
              <a:lnTo>
                <a:pt x="183628" y="87930"/>
              </a:lnTo>
              <a:lnTo>
                <a:pt x="187263" y="88559"/>
              </a:lnTo>
              <a:lnTo>
                <a:pt x="191569" y="89383"/>
              </a:lnTo>
              <a:lnTo>
                <a:pt x="195730" y="90085"/>
              </a:lnTo>
              <a:lnTo>
                <a:pt x="199890" y="90786"/>
              </a:lnTo>
              <a:lnTo>
                <a:pt x="204336" y="91522"/>
              </a:lnTo>
              <a:lnTo>
                <a:pt x="208592" y="92140"/>
              </a:lnTo>
              <a:lnTo>
                <a:pt x="212848" y="92759"/>
              </a:lnTo>
              <a:lnTo>
                <a:pt x="233318" y="96593"/>
              </a:lnTo>
              <a:lnTo>
                <a:pt x="237211" y="97811"/>
              </a:lnTo>
              <a:lnTo>
                <a:pt x="240969" y="99584"/>
              </a:lnTo>
              <a:lnTo>
                <a:pt x="244626" y="101103"/>
              </a:lnTo>
              <a:lnTo>
                <a:pt x="248284" y="102621"/>
              </a:lnTo>
              <a:lnTo>
                <a:pt x="251804" y="104292"/>
              </a:lnTo>
              <a:lnTo>
                <a:pt x="255263" y="105703"/>
              </a:lnTo>
              <a:lnTo>
                <a:pt x="258721" y="107114"/>
              </a:lnTo>
              <a:lnTo>
                <a:pt x="262064" y="108449"/>
              </a:lnTo>
              <a:lnTo>
                <a:pt x="265375" y="109566"/>
              </a:lnTo>
              <a:lnTo>
                <a:pt x="268686" y="110683"/>
              </a:lnTo>
              <a:lnTo>
                <a:pt x="271913" y="111355"/>
              </a:lnTo>
              <a:lnTo>
                <a:pt x="275128" y="112405"/>
              </a:lnTo>
              <a:lnTo>
                <a:pt x="278343" y="113455"/>
              </a:lnTo>
              <a:lnTo>
                <a:pt x="281233" y="114760"/>
              </a:lnTo>
              <a:lnTo>
                <a:pt x="284663" y="115868"/>
              </a:lnTo>
              <a:lnTo>
                <a:pt x="288094" y="116976"/>
              </a:lnTo>
              <a:lnTo>
                <a:pt x="291405" y="117836"/>
              </a:lnTo>
              <a:lnTo>
                <a:pt x="295711" y="119055"/>
              </a:lnTo>
              <a:lnTo>
                <a:pt x="300017" y="120274"/>
              </a:lnTo>
              <a:lnTo>
                <a:pt x="304866" y="121845"/>
              </a:lnTo>
              <a:lnTo>
                <a:pt x="310499" y="123182"/>
              </a:lnTo>
              <a:lnTo>
                <a:pt x="352252" y="130195"/>
              </a:lnTo>
              <a:lnTo>
                <a:pt x="394796" y="133169"/>
              </a:lnTo>
              <a:lnTo>
                <a:pt x="435461" y="134343"/>
              </a:lnTo>
              <a:lnTo>
                <a:pt x="476705" y="134746"/>
              </a:lnTo>
              <a:lnTo>
                <a:pt x="491691" y="134772"/>
              </a:lnTo>
              <a:lnTo>
                <a:pt x="498820" y="134763"/>
              </a:lnTo>
              <a:lnTo>
                <a:pt x="505724" y="134747"/>
              </a:lnTo>
              <a:lnTo>
                <a:pt x="514785" y="134725"/>
              </a:lnTo>
              <a:lnTo>
                <a:pt x="523378" y="134666"/>
              </a:lnTo>
              <a:lnTo>
                <a:pt x="531074" y="134614"/>
              </a:lnTo>
              <a:lnTo>
                <a:pt x="538770" y="134562"/>
              </a:lnTo>
              <a:lnTo>
                <a:pt x="545655" y="134494"/>
              </a:lnTo>
              <a:lnTo>
                <a:pt x="551900" y="134436"/>
              </a:lnTo>
              <a:lnTo>
                <a:pt x="558145" y="134377"/>
              </a:lnTo>
              <a:lnTo>
                <a:pt x="563547" y="134317"/>
              </a:lnTo>
              <a:lnTo>
                <a:pt x="568545" y="134266"/>
              </a:lnTo>
              <a:lnTo>
                <a:pt x="573544" y="134215"/>
              </a:lnTo>
              <a:lnTo>
                <a:pt x="578095" y="134438"/>
              </a:lnTo>
              <a:lnTo>
                <a:pt x="581891" y="134129"/>
              </a:lnTo>
              <a:lnTo>
                <a:pt x="585686" y="133819"/>
              </a:lnTo>
              <a:lnTo>
                <a:pt x="589039" y="133067"/>
              </a:lnTo>
              <a:lnTo>
                <a:pt x="591318" y="132411"/>
              </a:lnTo>
              <a:lnTo>
                <a:pt x="593597" y="131755"/>
              </a:lnTo>
              <a:lnTo>
                <a:pt x="596861" y="130912"/>
              </a:lnTo>
              <a:lnTo>
                <a:pt x="595562" y="130195"/>
              </a:lnTo>
              <a:lnTo>
                <a:pt x="594264" y="129478"/>
              </a:lnTo>
              <a:lnTo>
                <a:pt x="590446" y="128734"/>
              </a:lnTo>
              <a:lnTo>
                <a:pt x="543839" y="126098"/>
              </a:lnTo>
              <a:lnTo>
                <a:pt x="491249" y="125040"/>
              </a:lnTo>
              <a:lnTo>
                <a:pt x="439656" y="124532"/>
              </a:lnTo>
              <a:lnTo>
                <a:pt x="401156" y="124304"/>
              </a:lnTo>
              <a:lnTo>
                <a:pt x="360341" y="124149"/>
              </a:lnTo>
              <a:lnTo>
                <a:pt x="317918" y="124054"/>
              </a:lnTo>
              <a:lnTo>
                <a:pt x="275199" y="124006"/>
              </a:lnTo>
              <a:lnTo>
                <a:pt x="233367" y="123993"/>
              </a:lnTo>
              <a:lnTo>
                <a:pt x="212984" y="123998"/>
              </a:lnTo>
              <a:lnTo>
                <a:pt x="157062" y="124036"/>
              </a:lnTo>
              <a:lnTo>
                <a:pt x="109142" y="124100"/>
              </a:lnTo>
              <a:lnTo>
                <a:pt x="58336" y="124204"/>
              </a:lnTo>
              <a:lnTo>
                <a:pt x="46797" y="124265"/>
              </a:lnTo>
              <a:lnTo>
                <a:pt x="44692" y="124292"/>
              </a:lnTo>
              <a:lnTo>
                <a:pt x="91931" y="124379"/>
              </a:lnTo>
              <a:lnTo>
                <a:pt x="146385" y="124409"/>
              </a:lnTo>
              <a:lnTo>
                <a:pt x="192785" y="124423"/>
              </a:lnTo>
              <a:lnTo>
                <a:pt x="245056" y="124433"/>
              </a:lnTo>
              <a:lnTo>
                <a:pt x="302661" y="124440"/>
              </a:lnTo>
              <a:lnTo>
                <a:pt x="365045" y="124445"/>
              </a:lnTo>
              <a:lnTo>
                <a:pt x="430514" y="124447"/>
              </a:lnTo>
              <a:lnTo>
                <a:pt x="497681" y="124448"/>
              </a:lnTo>
              <a:lnTo>
                <a:pt x="531620" y="124447"/>
              </a:lnTo>
              <a:lnTo>
                <a:pt x="565069" y="124447"/>
              </a:lnTo>
              <a:lnTo>
                <a:pt x="598206" y="124447"/>
              </a:lnTo>
              <a:lnTo>
                <a:pt x="631213" y="124446"/>
              </a:lnTo>
              <a:lnTo>
                <a:pt x="663553" y="124445"/>
              </a:lnTo>
              <a:lnTo>
                <a:pt x="694689" y="124445"/>
              </a:lnTo>
              <a:lnTo>
                <a:pt x="724677" y="124443"/>
              </a:lnTo>
              <a:lnTo>
                <a:pt x="753736" y="124442"/>
              </a:lnTo>
              <a:lnTo>
                <a:pt x="781577" y="124441"/>
              </a:lnTo>
              <a:lnTo>
                <a:pt x="807910" y="124440"/>
              </a:lnTo>
              <a:lnTo>
                <a:pt x="832706" y="124439"/>
              </a:lnTo>
              <a:lnTo>
                <a:pt x="856105" y="124438"/>
              </a:lnTo>
              <a:lnTo>
                <a:pt x="878065" y="124437"/>
              </a:lnTo>
              <a:lnTo>
                <a:pt x="898546" y="124436"/>
              </a:lnTo>
              <a:lnTo>
                <a:pt x="917494" y="124435"/>
              </a:lnTo>
              <a:lnTo>
                <a:pt x="934946" y="124435"/>
              </a:lnTo>
              <a:lnTo>
                <a:pt x="950992" y="124434"/>
              </a:lnTo>
              <a:lnTo>
                <a:pt x="965723" y="124433"/>
              </a:lnTo>
              <a:lnTo>
                <a:pt x="1011371" y="124431"/>
              </a:lnTo>
              <a:lnTo>
                <a:pt x="1028883" y="124328"/>
              </a:lnTo>
              <a:lnTo>
                <a:pt x="1036429" y="124315"/>
              </a:lnTo>
              <a:lnTo>
                <a:pt x="1043357" y="124429"/>
              </a:lnTo>
              <a:lnTo>
                <a:pt x="1052244" y="124699"/>
              </a:lnTo>
              <a:lnTo>
                <a:pt x="1058804" y="125420"/>
              </a:lnTo>
              <a:lnTo>
                <a:pt x="1064695" y="126048"/>
              </a:lnTo>
              <a:lnTo>
                <a:pt x="1084918" y="129640"/>
              </a:lnTo>
              <a:lnTo>
                <a:pt x="1083422" y="130258"/>
              </a:lnTo>
              <a:lnTo>
                <a:pt x="1081926" y="130878"/>
              </a:lnTo>
              <a:lnTo>
                <a:pt x="1037811" y="133091"/>
              </a:lnTo>
              <a:lnTo>
                <a:pt x="989241" y="133826"/>
              </a:lnTo>
              <a:lnTo>
                <a:pt x="947168" y="134144"/>
              </a:lnTo>
              <a:lnTo>
                <a:pt x="902090" y="134316"/>
              </a:lnTo>
              <a:lnTo>
                <a:pt x="856743" y="134382"/>
              </a:lnTo>
              <a:lnTo>
                <a:pt x="842010" y="134385"/>
              </a:lnTo>
              <a:lnTo>
                <a:pt x="827692" y="134381"/>
              </a:lnTo>
              <a:lnTo>
                <a:pt x="787826" y="134346"/>
              </a:lnTo>
              <a:lnTo>
                <a:pt x="746900" y="134244"/>
              </a:lnTo>
              <a:lnTo>
                <a:pt x="748046" y="134213"/>
              </a:lnTo>
              <a:lnTo>
                <a:pt x="788383" y="134104"/>
              </a:lnTo>
              <a:lnTo>
                <a:pt x="829088" y="134067"/>
              </a:lnTo>
              <a:lnTo>
                <a:pt x="884846" y="134036"/>
              </a:lnTo>
              <a:lnTo>
                <a:pt x="955656" y="134010"/>
              </a:lnTo>
              <a:lnTo>
                <a:pt x="996469" y="133998"/>
              </a:lnTo>
              <a:lnTo>
                <a:pt x="1040978" y="133989"/>
              </a:lnTo>
              <a:lnTo>
                <a:pt x="1089185" y="133980"/>
              </a:lnTo>
              <a:lnTo>
                <a:pt x="1140811" y="133972"/>
              </a:lnTo>
              <a:lnTo>
                <a:pt x="1195576" y="133966"/>
              </a:lnTo>
              <a:lnTo>
                <a:pt x="1241974" y="133935"/>
              </a:lnTo>
              <a:lnTo>
                <a:pt x="1290810" y="133879"/>
              </a:lnTo>
              <a:lnTo>
                <a:pt x="1341531" y="133837"/>
              </a:lnTo>
              <a:lnTo>
                <a:pt x="1393580" y="133847"/>
              </a:lnTo>
              <a:lnTo>
                <a:pt x="1446403" y="133948"/>
              </a:lnTo>
              <a:lnTo>
                <a:pt x="1491178" y="134116"/>
              </a:lnTo>
              <a:lnTo>
                <a:pt x="1536976" y="134345"/>
              </a:lnTo>
              <a:lnTo>
                <a:pt x="1583568" y="134619"/>
              </a:lnTo>
              <a:lnTo>
                <a:pt x="1630727" y="134923"/>
              </a:lnTo>
              <a:lnTo>
                <a:pt x="1678224" y="135242"/>
              </a:lnTo>
              <a:lnTo>
                <a:pt x="1725831" y="135561"/>
              </a:lnTo>
              <a:lnTo>
                <a:pt x="1773931" y="135890"/>
              </a:lnTo>
              <a:lnTo>
                <a:pt x="1822782" y="136242"/>
              </a:lnTo>
              <a:lnTo>
                <a:pt x="1871971" y="136610"/>
              </a:lnTo>
              <a:lnTo>
                <a:pt x="1921086" y="136984"/>
              </a:lnTo>
              <a:lnTo>
                <a:pt x="1969713" y="137355"/>
              </a:lnTo>
              <a:lnTo>
                <a:pt x="2017440" y="137715"/>
              </a:lnTo>
              <a:lnTo>
                <a:pt x="2073949" y="138139"/>
              </a:lnTo>
              <a:lnTo>
                <a:pt x="2130051" y="138565"/>
              </a:lnTo>
              <a:lnTo>
                <a:pt x="2185303" y="138984"/>
              </a:lnTo>
              <a:lnTo>
                <a:pt x="2239266" y="139389"/>
              </a:lnTo>
              <a:lnTo>
                <a:pt x="2291498" y="139774"/>
              </a:lnTo>
              <a:lnTo>
                <a:pt x="2342153" y="140139"/>
              </a:lnTo>
              <a:lnTo>
                <a:pt x="2391524" y="140490"/>
              </a:lnTo>
              <a:lnTo>
                <a:pt x="2439382" y="140824"/>
              </a:lnTo>
              <a:lnTo>
                <a:pt x="2485497" y="141140"/>
              </a:lnTo>
              <a:lnTo>
                <a:pt x="2529641" y="141434"/>
              </a:lnTo>
              <a:lnTo>
                <a:pt x="2582191" y="141774"/>
              </a:lnTo>
              <a:lnTo>
                <a:pt x="2631981" y="142082"/>
              </a:lnTo>
              <a:lnTo>
                <a:pt x="2678766" y="142362"/>
              </a:lnTo>
              <a:lnTo>
                <a:pt x="2722308" y="142614"/>
              </a:lnTo>
              <a:lnTo>
                <a:pt x="2762498" y="142838"/>
              </a:lnTo>
              <a:lnTo>
                <a:pt x="2833387" y="143202"/>
              </a:lnTo>
              <a:lnTo>
                <a:pt x="2892157" y="143480"/>
              </a:lnTo>
              <a:lnTo>
                <a:pt x="2938809" y="143672"/>
              </a:lnTo>
              <a:lnTo>
                <a:pt x="2990571" y="143845"/>
              </a:lnTo>
              <a:lnTo>
                <a:pt x="3031594" y="143914"/>
              </a:lnTo>
              <a:lnTo>
                <a:pt x="3037881" y="143911"/>
              </a:lnTo>
              <a:lnTo>
                <a:pt x="3043278" y="143904"/>
              </a:lnTo>
              <a:lnTo>
                <a:pt x="3050094" y="143894"/>
              </a:lnTo>
              <a:lnTo>
                <a:pt x="3052511" y="143594"/>
              </a:lnTo>
              <a:lnTo>
                <a:pt x="3055326" y="143836"/>
              </a:lnTo>
              <a:lnTo>
                <a:pt x="3058140" y="144080"/>
              </a:lnTo>
              <a:lnTo>
                <a:pt x="3058210" y="144765"/>
              </a:lnTo>
              <a:lnTo>
                <a:pt x="3060166" y="145364"/>
              </a:lnTo>
              <a:lnTo>
                <a:pt x="3062122" y="145963"/>
              </a:lnTo>
              <a:lnTo>
                <a:pt x="3063708" y="146754"/>
              </a:lnTo>
              <a:lnTo>
                <a:pt x="3067063" y="147428"/>
              </a:lnTo>
              <a:lnTo>
                <a:pt x="3070418" y="148104"/>
              </a:lnTo>
              <a:lnTo>
                <a:pt x="3073843" y="148814"/>
              </a:lnTo>
              <a:lnTo>
                <a:pt x="3080299" y="149411"/>
              </a:lnTo>
              <a:lnTo>
                <a:pt x="3125314" y="151542"/>
              </a:lnTo>
              <a:lnTo>
                <a:pt x="3136755" y="151800"/>
              </a:lnTo>
              <a:lnTo>
                <a:pt x="3149306" y="152158"/>
              </a:lnTo>
              <a:lnTo>
                <a:pt x="3193847" y="153756"/>
              </a:lnTo>
              <a:lnTo>
                <a:pt x="3247152" y="156448"/>
              </a:lnTo>
              <a:lnTo>
                <a:pt x="3266658" y="157557"/>
              </a:lnTo>
              <a:lnTo>
                <a:pt x="3286639" y="158653"/>
              </a:lnTo>
              <a:lnTo>
                <a:pt x="3307114" y="159669"/>
              </a:lnTo>
              <a:lnTo>
                <a:pt x="3328196" y="160659"/>
              </a:lnTo>
              <a:lnTo>
                <a:pt x="3349754" y="161737"/>
              </a:lnTo>
              <a:lnTo>
                <a:pt x="3371661" y="163014"/>
              </a:lnTo>
              <a:lnTo>
                <a:pt x="3394104" y="164569"/>
              </a:lnTo>
              <a:lnTo>
                <a:pt x="3417078" y="166325"/>
              </a:lnTo>
              <a:lnTo>
                <a:pt x="3440164" y="168166"/>
              </a:lnTo>
              <a:lnTo>
                <a:pt x="3462944" y="169976"/>
              </a:lnTo>
              <a:lnTo>
                <a:pt x="3507735" y="173478"/>
              </a:lnTo>
              <a:lnTo>
                <a:pt x="3551562" y="177054"/>
              </a:lnTo>
              <a:lnTo>
                <a:pt x="3594099" y="180866"/>
              </a:lnTo>
              <a:lnTo>
                <a:pt x="3614849" y="182781"/>
              </a:lnTo>
              <a:lnTo>
                <a:pt x="3635129" y="184607"/>
              </a:lnTo>
              <a:lnTo>
                <a:pt x="3674475" y="188028"/>
              </a:lnTo>
              <a:lnTo>
                <a:pt x="3729371" y="192486"/>
              </a:lnTo>
              <a:lnTo>
                <a:pt x="3778214" y="195991"/>
              </a:lnTo>
              <a:lnTo>
                <a:pt x="3818445" y="198551"/>
              </a:lnTo>
              <a:lnTo>
                <a:pt x="3859173" y="200724"/>
              </a:lnTo>
              <a:lnTo>
                <a:pt x="3886155" y="201768"/>
              </a:lnTo>
              <a:lnTo>
                <a:pt x="3892599" y="201946"/>
              </a:lnTo>
              <a:lnTo>
                <a:pt x="3899043" y="202125"/>
              </a:lnTo>
              <a:lnTo>
                <a:pt x="3905049" y="202148"/>
              </a:lnTo>
              <a:lnTo>
                <a:pt x="3905975" y="202158"/>
              </a:lnTo>
              <a:lnTo>
                <a:pt x="3864856" y="201709"/>
              </a:lnTo>
              <a:lnTo>
                <a:pt x="3822422" y="201461"/>
              </a:lnTo>
              <a:lnTo>
                <a:pt x="3765557" y="201231"/>
              </a:lnTo>
              <a:lnTo>
                <a:pt x="3719421" y="201095"/>
              </a:lnTo>
              <a:lnTo>
                <a:pt x="3666465" y="200979"/>
              </a:lnTo>
              <a:lnTo>
                <a:pt x="3606298" y="200879"/>
              </a:lnTo>
              <a:lnTo>
                <a:pt x="3538180" y="200799"/>
              </a:lnTo>
              <a:lnTo>
                <a:pt x="3462992" y="200736"/>
              </a:lnTo>
              <a:lnTo>
                <a:pt x="3423007" y="200710"/>
              </a:lnTo>
              <a:lnTo>
                <a:pt x="3381348" y="200688"/>
              </a:lnTo>
              <a:lnTo>
                <a:pt x="3338088" y="200669"/>
              </a:lnTo>
              <a:lnTo>
                <a:pt x="3293298" y="200652"/>
              </a:lnTo>
              <a:lnTo>
                <a:pt x="3246645" y="200639"/>
              </a:lnTo>
              <a:lnTo>
                <a:pt x="3198207" y="200628"/>
              </a:lnTo>
              <a:lnTo>
                <a:pt x="3148675" y="200620"/>
              </a:lnTo>
              <a:lnTo>
                <a:pt x="3098739" y="200613"/>
              </a:lnTo>
              <a:lnTo>
                <a:pt x="3048186" y="200608"/>
              </a:lnTo>
              <a:lnTo>
                <a:pt x="2996780" y="200605"/>
              </a:lnTo>
              <a:lnTo>
                <a:pt x="2945176" y="200603"/>
              </a:lnTo>
              <a:lnTo>
                <a:pt x="2894026" y="200602"/>
              </a:lnTo>
              <a:lnTo>
                <a:pt x="2843141" y="200602"/>
              </a:lnTo>
              <a:lnTo>
                <a:pt x="2792292" y="200604"/>
              </a:lnTo>
              <a:lnTo>
                <a:pt x="2742080" y="200606"/>
              </a:lnTo>
              <a:lnTo>
                <a:pt x="2693106" y="200608"/>
              </a:lnTo>
              <a:lnTo>
                <a:pt x="2645310" y="200611"/>
              </a:lnTo>
              <a:lnTo>
                <a:pt x="2598445" y="200614"/>
              </a:lnTo>
              <a:lnTo>
                <a:pt x="2552831" y="200618"/>
              </a:lnTo>
              <a:lnTo>
                <a:pt x="2508788" y="200621"/>
              </a:lnTo>
              <a:lnTo>
                <a:pt x="2466155" y="200625"/>
              </a:lnTo>
              <a:lnTo>
                <a:pt x="2424842" y="200628"/>
              </a:lnTo>
              <a:lnTo>
                <a:pt x="2385280" y="200632"/>
              </a:lnTo>
              <a:lnTo>
                <a:pt x="2347898" y="200635"/>
              </a:lnTo>
              <a:lnTo>
                <a:pt x="2312713" y="200639"/>
              </a:lnTo>
              <a:lnTo>
                <a:pt x="2279528" y="200642"/>
              </a:lnTo>
              <a:lnTo>
                <a:pt x="2248451" y="200645"/>
              </a:lnTo>
              <a:lnTo>
                <a:pt x="2219589" y="200648"/>
              </a:lnTo>
              <a:lnTo>
                <a:pt x="2192805" y="200650"/>
              </a:lnTo>
              <a:lnTo>
                <a:pt x="2168098" y="200653"/>
              </a:lnTo>
              <a:lnTo>
                <a:pt x="2145774" y="200655"/>
              </a:lnTo>
              <a:lnTo>
                <a:pt x="2126142" y="200657"/>
              </a:lnTo>
              <a:lnTo>
                <a:pt x="2109151" y="200659"/>
              </a:lnTo>
              <a:lnTo>
                <a:pt x="2064401" y="200666"/>
              </a:lnTo>
              <a:lnTo>
                <a:pt x="2063249" y="200666"/>
              </a:lnTo>
              <a:lnTo>
                <a:pt x="2067853" y="200667"/>
              </a:lnTo>
              <a:lnTo>
                <a:pt x="2072635" y="200668"/>
              </a:lnTo>
              <a:lnTo>
                <a:pt x="2079976" y="200669"/>
              </a:lnTo>
              <a:lnTo>
                <a:pt x="2089728" y="200669"/>
              </a:lnTo>
              <a:lnTo>
                <a:pt x="2101744" y="200669"/>
              </a:lnTo>
              <a:lnTo>
                <a:pt x="2116108" y="200669"/>
              </a:lnTo>
              <a:lnTo>
                <a:pt x="2132856" y="200669"/>
              </a:lnTo>
              <a:lnTo>
                <a:pt x="2151773" y="200669"/>
              </a:lnTo>
              <a:lnTo>
                <a:pt x="2172642" y="200669"/>
              </a:lnTo>
              <a:lnTo>
                <a:pt x="2195572" y="200707"/>
              </a:lnTo>
              <a:lnTo>
                <a:pt x="2220622" y="200771"/>
              </a:lnTo>
              <a:lnTo>
                <a:pt x="2247503" y="200784"/>
              </a:lnTo>
              <a:lnTo>
                <a:pt x="2275924" y="200669"/>
              </a:lnTo>
              <a:lnTo>
                <a:pt x="2306013" y="200391"/>
              </a:lnTo>
              <a:lnTo>
                <a:pt x="2337857" y="199994"/>
              </a:lnTo>
              <a:lnTo>
                <a:pt x="2371101" y="199529"/>
              </a:lnTo>
              <a:lnTo>
                <a:pt x="2405393" y="199049"/>
              </a:lnTo>
              <a:lnTo>
                <a:pt x="2440835" y="198583"/>
              </a:lnTo>
              <a:lnTo>
                <a:pt x="2515214" y="197552"/>
              </a:lnTo>
              <a:lnTo>
                <a:pt x="2553500" y="196894"/>
              </a:lnTo>
              <a:lnTo>
                <a:pt x="2592595" y="196123"/>
              </a:lnTo>
              <a:lnTo>
                <a:pt x="2632583" y="195260"/>
              </a:lnTo>
              <a:lnTo>
                <a:pt x="2672980" y="194295"/>
              </a:lnTo>
              <a:lnTo>
                <a:pt x="2713301" y="193217"/>
              </a:lnTo>
              <a:lnTo>
                <a:pt x="2753592" y="191982"/>
              </a:lnTo>
              <a:lnTo>
                <a:pt x="2794053" y="190608"/>
              </a:lnTo>
              <a:lnTo>
                <a:pt x="2834431" y="189182"/>
              </a:lnTo>
              <a:lnTo>
                <a:pt x="2874474" y="187786"/>
              </a:lnTo>
              <a:lnTo>
                <a:pt x="2914262" y="186414"/>
              </a:lnTo>
              <a:lnTo>
                <a:pt x="2953881" y="185031"/>
              </a:lnTo>
              <a:lnTo>
                <a:pt x="2993084" y="183679"/>
              </a:lnTo>
              <a:lnTo>
                <a:pt x="3031625" y="182399"/>
              </a:lnTo>
              <a:lnTo>
                <a:pt x="3069564" y="181231"/>
              </a:lnTo>
              <a:lnTo>
                <a:pt x="3106990" y="180141"/>
              </a:lnTo>
              <a:lnTo>
                <a:pt x="3143702" y="179069"/>
              </a:lnTo>
              <a:lnTo>
                <a:pt x="3179499" y="177951"/>
              </a:lnTo>
              <a:lnTo>
                <a:pt x="3214344" y="176754"/>
              </a:lnTo>
              <a:lnTo>
                <a:pt x="3248338" y="175515"/>
              </a:lnTo>
              <a:lnTo>
                <a:pt x="3281489" y="174285"/>
              </a:lnTo>
              <a:lnTo>
                <a:pt x="3313804" y="173109"/>
              </a:lnTo>
              <a:lnTo>
                <a:pt x="3345306" y="172025"/>
              </a:lnTo>
              <a:lnTo>
                <a:pt x="3375983" y="170998"/>
              </a:lnTo>
              <a:lnTo>
                <a:pt x="3405795" y="169973"/>
              </a:lnTo>
              <a:lnTo>
                <a:pt x="3462759" y="167720"/>
              </a:lnTo>
              <a:lnTo>
                <a:pt x="3516197" y="165264"/>
              </a:lnTo>
              <a:lnTo>
                <a:pt x="3565166" y="162954"/>
              </a:lnTo>
              <a:lnTo>
                <a:pt x="3587878" y="161849"/>
              </a:lnTo>
              <a:lnTo>
                <a:pt x="3609666" y="160790"/>
              </a:lnTo>
              <a:lnTo>
                <a:pt x="3651061" y="158882"/>
              </a:lnTo>
              <a:lnTo>
                <a:pt x="3689351" y="157231"/>
              </a:lnTo>
              <a:lnTo>
                <a:pt x="3742937" y="155262"/>
              </a:lnTo>
              <a:lnTo>
                <a:pt x="3793580" y="153890"/>
              </a:lnTo>
              <a:lnTo>
                <a:pt x="3810180" y="153600"/>
              </a:lnTo>
              <a:lnTo>
                <a:pt x="3826653" y="153310"/>
              </a:lnTo>
              <a:lnTo>
                <a:pt x="3843068" y="152933"/>
              </a:lnTo>
              <a:lnTo>
                <a:pt x="3859376" y="152433"/>
              </a:lnTo>
              <a:lnTo>
                <a:pt x="3875562" y="151861"/>
              </a:lnTo>
              <a:lnTo>
                <a:pt x="3891747" y="151257"/>
              </a:lnTo>
              <a:lnTo>
                <a:pt x="3908052" y="150661"/>
              </a:lnTo>
              <a:lnTo>
                <a:pt x="3924472" y="150069"/>
              </a:lnTo>
              <a:lnTo>
                <a:pt x="3940954" y="149466"/>
              </a:lnTo>
              <a:lnTo>
                <a:pt x="3957549" y="148871"/>
              </a:lnTo>
              <a:lnTo>
                <a:pt x="4008504" y="147253"/>
              </a:lnTo>
              <a:lnTo>
                <a:pt x="4059922" y="145891"/>
              </a:lnTo>
              <a:lnTo>
                <a:pt x="4110724" y="144832"/>
              </a:lnTo>
              <a:lnTo>
                <a:pt x="4161435" y="144064"/>
              </a:lnTo>
              <a:lnTo>
                <a:pt x="4210210" y="143545"/>
              </a:lnTo>
              <a:lnTo>
                <a:pt x="4257176" y="143230"/>
              </a:lnTo>
              <a:lnTo>
                <a:pt x="4302367" y="143072"/>
              </a:lnTo>
              <a:lnTo>
                <a:pt x="4343330" y="143021"/>
              </a:lnTo>
              <a:lnTo>
                <a:pt x="4356195" y="143020"/>
              </a:lnTo>
              <a:lnTo>
                <a:pt x="4368737" y="143025"/>
              </a:lnTo>
              <a:lnTo>
                <a:pt x="4414536" y="143095"/>
              </a:lnTo>
              <a:lnTo>
                <a:pt x="4452687" y="143197"/>
              </a:lnTo>
              <a:lnTo>
                <a:pt x="4469622" y="143250"/>
              </a:lnTo>
              <a:lnTo>
                <a:pt x="4477578" y="143274"/>
              </a:lnTo>
              <a:lnTo>
                <a:pt x="4485177" y="143298"/>
              </a:lnTo>
              <a:lnTo>
                <a:pt x="4492417" y="143320"/>
              </a:lnTo>
              <a:lnTo>
                <a:pt x="4499351" y="143342"/>
              </a:lnTo>
              <a:lnTo>
                <a:pt x="4506032" y="143362"/>
              </a:lnTo>
              <a:lnTo>
                <a:pt x="4514797" y="143388"/>
              </a:lnTo>
              <a:lnTo>
                <a:pt x="4522083" y="143409"/>
              </a:lnTo>
              <a:lnTo>
                <a:pt x="4530163" y="143427"/>
              </a:lnTo>
              <a:lnTo>
                <a:pt x="4538243" y="143445"/>
              </a:lnTo>
              <a:lnTo>
                <a:pt x="4545447" y="143459"/>
              </a:lnTo>
              <a:lnTo>
                <a:pt x="4584559" y="143495"/>
              </a:lnTo>
              <a:lnTo>
                <a:pt x="4593410" y="143461"/>
              </a:lnTo>
              <a:lnTo>
                <a:pt x="4602776" y="143401"/>
              </a:lnTo>
              <a:lnTo>
                <a:pt x="4612816" y="143391"/>
              </a:lnTo>
              <a:lnTo>
                <a:pt x="4623689" y="143506"/>
              </a:lnTo>
              <a:lnTo>
                <a:pt x="4635431" y="143786"/>
              </a:lnTo>
              <a:lnTo>
                <a:pt x="4647960" y="144183"/>
              </a:lnTo>
              <a:lnTo>
                <a:pt x="4661255" y="144648"/>
              </a:lnTo>
              <a:lnTo>
                <a:pt x="4675297" y="145129"/>
              </a:lnTo>
              <a:lnTo>
                <a:pt x="4690098" y="145594"/>
              </a:lnTo>
              <a:lnTo>
                <a:pt x="4705661" y="146077"/>
              </a:lnTo>
              <a:lnTo>
                <a:pt x="4721958" y="146624"/>
              </a:lnTo>
              <a:lnTo>
                <a:pt x="4738958" y="147281"/>
              </a:lnTo>
              <a:lnTo>
                <a:pt x="4756786" y="148089"/>
              </a:lnTo>
              <a:lnTo>
                <a:pt x="4775412" y="149014"/>
              </a:lnTo>
              <a:lnTo>
                <a:pt x="4794580" y="149990"/>
              </a:lnTo>
              <a:lnTo>
                <a:pt x="4814032" y="150953"/>
              </a:lnTo>
              <a:lnTo>
                <a:pt x="4833849" y="151871"/>
              </a:lnTo>
              <a:lnTo>
                <a:pt x="4854120" y="152783"/>
              </a:lnTo>
              <a:lnTo>
                <a:pt x="4874593" y="153732"/>
              </a:lnTo>
              <a:lnTo>
                <a:pt x="4895015" y="154760"/>
              </a:lnTo>
              <a:lnTo>
                <a:pt x="4915485" y="155906"/>
              </a:lnTo>
              <a:lnTo>
                <a:pt x="4936082" y="157137"/>
              </a:lnTo>
              <a:lnTo>
                <a:pt x="4956525" y="158392"/>
              </a:lnTo>
              <a:lnTo>
                <a:pt x="4976531" y="159608"/>
              </a:lnTo>
              <a:lnTo>
                <a:pt x="4996177" y="160786"/>
              </a:lnTo>
              <a:lnTo>
                <a:pt x="5015564" y="161956"/>
              </a:lnTo>
              <a:lnTo>
                <a:pt x="5034442" y="163087"/>
              </a:lnTo>
              <a:lnTo>
                <a:pt x="5086676" y="166086"/>
              </a:lnTo>
              <a:lnTo>
                <a:pt x="5131995" y="168504"/>
              </a:lnTo>
              <a:lnTo>
                <a:pt x="5181047" y="170791"/>
              </a:lnTo>
              <a:lnTo>
                <a:pt x="5201335" y="171566"/>
              </a:lnTo>
              <a:lnTo>
                <a:pt x="5209513" y="171884"/>
              </a:lnTo>
              <a:lnTo>
                <a:pt x="5219269" y="172282"/>
              </a:lnTo>
              <a:lnTo>
                <a:pt x="5225666" y="172245"/>
              </a:lnTo>
              <a:lnTo>
                <a:pt x="5228297" y="172702"/>
              </a:lnTo>
              <a:lnTo>
                <a:pt x="5230927" y="173159"/>
              </a:lnTo>
              <a:lnTo>
                <a:pt x="5230458" y="173946"/>
              </a:lnTo>
              <a:lnTo>
                <a:pt x="5225297" y="174625"/>
              </a:lnTo>
              <a:lnTo>
                <a:pt x="5186527" y="177238"/>
              </a:lnTo>
              <a:lnTo>
                <a:pt x="5160435" y="178120"/>
              </a:lnTo>
              <a:lnTo>
                <a:pt x="5145422" y="178670"/>
              </a:lnTo>
              <a:lnTo>
                <a:pt x="5129050" y="179353"/>
              </a:lnTo>
              <a:lnTo>
                <a:pt x="5111288" y="180126"/>
              </a:lnTo>
              <a:lnTo>
                <a:pt x="5092374" y="180938"/>
              </a:lnTo>
              <a:lnTo>
                <a:pt x="5051825" y="182527"/>
              </a:lnTo>
              <a:lnTo>
                <a:pt x="5007405" y="184120"/>
              </a:lnTo>
              <a:lnTo>
                <a:pt x="4959000" y="185578"/>
              </a:lnTo>
              <a:lnTo>
                <a:pt x="4906610" y="186903"/>
              </a:lnTo>
              <a:lnTo>
                <a:pt x="4851451" y="188049"/>
              </a:lnTo>
              <a:lnTo>
                <a:pt x="4793523" y="189015"/>
              </a:lnTo>
              <a:lnTo>
                <a:pt x="4733866" y="189809"/>
              </a:lnTo>
              <a:lnTo>
                <a:pt x="4672482" y="190431"/>
              </a:lnTo>
              <a:lnTo>
                <a:pt x="4610145" y="190915"/>
              </a:lnTo>
              <a:lnTo>
                <a:pt x="4546857" y="191260"/>
              </a:lnTo>
              <a:lnTo>
                <a:pt x="4483647" y="191506"/>
              </a:lnTo>
              <a:lnTo>
                <a:pt x="4420517" y="191653"/>
              </a:lnTo>
              <a:lnTo>
                <a:pt x="4357816" y="191739"/>
              </a:lnTo>
              <a:lnTo>
                <a:pt x="4295544" y="191762"/>
              </a:lnTo>
              <a:lnTo>
                <a:pt x="4265114" y="191761"/>
              </a:lnTo>
              <a:lnTo>
                <a:pt x="4205828" y="191734"/>
              </a:lnTo>
              <a:lnTo>
                <a:pt x="4148606" y="191684"/>
              </a:lnTo>
              <a:lnTo>
                <a:pt x="4093365" y="191622"/>
              </a:lnTo>
              <a:lnTo>
                <a:pt x="4041080" y="191552"/>
              </a:lnTo>
              <a:lnTo>
                <a:pt x="3992592" y="191483"/>
              </a:lnTo>
              <a:lnTo>
                <a:pt x="3948219" y="191416"/>
              </a:lnTo>
              <a:lnTo>
                <a:pt x="3927811" y="191385"/>
              </a:lnTo>
              <a:lnTo>
                <a:pt x="3908514" y="191355"/>
              </a:lnTo>
              <a:lnTo>
                <a:pt x="3890418" y="191327"/>
              </a:lnTo>
              <a:lnTo>
                <a:pt x="3873615" y="191300"/>
              </a:lnTo>
              <a:lnTo>
                <a:pt x="3857834" y="191276"/>
              </a:lnTo>
              <a:lnTo>
                <a:pt x="3819201" y="191215"/>
              </a:lnTo>
              <a:lnTo>
                <a:pt x="3795752" y="191144"/>
              </a:lnTo>
              <a:lnTo>
                <a:pt x="3798970" y="191135"/>
              </a:lnTo>
              <a:lnTo>
                <a:pt x="3851068" y="191115"/>
              </a:lnTo>
              <a:lnTo>
                <a:pt x="3891626" y="191112"/>
              </a:lnTo>
              <a:lnTo>
                <a:pt x="3943304" y="191110"/>
              </a:lnTo>
              <a:lnTo>
                <a:pt x="3973695" y="191110"/>
              </a:lnTo>
              <a:lnTo>
                <a:pt x="4007357" y="191111"/>
              </a:lnTo>
              <a:lnTo>
                <a:pt x="4044153" y="191111"/>
              </a:lnTo>
              <a:lnTo>
                <a:pt x="4083783" y="191112"/>
              </a:lnTo>
              <a:lnTo>
                <a:pt x="4125949" y="191113"/>
              </a:lnTo>
              <a:lnTo>
                <a:pt x="4170613" y="191115"/>
              </a:lnTo>
              <a:lnTo>
                <a:pt x="4217923" y="191116"/>
              </a:lnTo>
              <a:lnTo>
                <a:pt x="4267847" y="191117"/>
              </a:lnTo>
              <a:lnTo>
                <a:pt x="4320355" y="191119"/>
              </a:lnTo>
              <a:lnTo>
                <a:pt x="4364414" y="191120"/>
              </a:lnTo>
              <a:lnTo>
                <a:pt x="4410329" y="191121"/>
              </a:lnTo>
              <a:lnTo>
                <a:pt x="4457807" y="191122"/>
              </a:lnTo>
              <a:lnTo>
                <a:pt x="4506554" y="191124"/>
              </a:lnTo>
              <a:lnTo>
                <a:pt x="4556275" y="191125"/>
              </a:lnTo>
              <a:lnTo>
                <a:pt x="4607306" y="191126"/>
              </a:lnTo>
              <a:lnTo>
                <a:pt x="4659840" y="191127"/>
              </a:lnTo>
              <a:lnTo>
                <a:pt x="4713379" y="191128"/>
              </a:lnTo>
              <a:lnTo>
                <a:pt x="4767422" y="191129"/>
              </a:lnTo>
              <a:lnTo>
                <a:pt x="4821470" y="191130"/>
              </a:lnTo>
              <a:lnTo>
                <a:pt x="4875739" y="191182"/>
              </a:lnTo>
              <a:lnTo>
                <a:pt x="4930562" y="191287"/>
              </a:lnTo>
              <a:lnTo>
                <a:pt x="4985615" y="191365"/>
              </a:lnTo>
              <a:lnTo>
                <a:pt x="5040575" y="191340"/>
              </a:lnTo>
              <a:lnTo>
                <a:pt x="5095118" y="191134"/>
              </a:lnTo>
              <a:lnTo>
                <a:pt x="5149470" y="190763"/>
              </a:lnTo>
              <a:lnTo>
                <a:pt x="5203845" y="190279"/>
              </a:lnTo>
              <a:lnTo>
                <a:pt x="5257907" y="189657"/>
              </a:lnTo>
              <a:lnTo>
                <a:pt x="5311322" y="188871"/>
              </a:lnTo>
              <a:lnTo>
                <a:pt x="5363752" y="187896"/>
              </a:lnTo>
              <a:lnTo>
                <a:pt x="5415414" y="186728"/>
              </a:lnTo>
              <a:lnTo>
                <a:pt x="5466532" y="185384"/>
              </a:lnTo>
              <a:lnTo>
                <a:pt x="5516783" y="183870"/>
              </a:lnTo>
              <a:lnTo>
                <a:pt x="5565841" y="182190"/>
              </a:lnTo>
              <a:lnTo>
                <a:pt x="5613384" y="180348"/>
              </a:lnTo>
              <a:lnTo>
                <a:pt x="5670859" y="177762"/>
              </a:lnTo>
              <a:lnTo>
                <a:pt x="5726397" y="174881"/>
              </a:lnTo>
              <a:lnTo>
                <a:pt x="5779716" y="171818"/>
              </a:lnTo>
              <a:lnTo>
                <a:pt x="5830528" y="168688"/>
              </a:lnTo>
              <a:lnTo>
                <a:pt x="5878819" y="165511"/>
              </a:lnTo>
              <a:lnTo>
                <a:pt x="5924720" y="162230"/>
              </a:lnTo>
              <a:lnTo>
                <a:pt x="5968169" y="158839"/>
              </a:lnTo>
              <a:lnTo>
                <a:pt x="6009101" y="155333"/>
              </a:lnTo>
              <a:lnTo>
                <a:pt x="6047478" y="151667"/>
              </a:lnTo>
              <a:lnTo>
                <a:pt x="6116747" y="143994"/>
              </a:lnTo>
              <a:lnTo>
                <a:pt x="6176285" y="136318"/>
              </a:lnTo>
              <a:lnTo>
                <a:pt x="6226093" y="128639"/>
              </a:lnTo>
              <a:lnTo>
                <a:pt x="6267130" y="121648"/>
              </a:lnTo>
              <a:lnTo>
                <a:pt x="6313018" y="112517"/>
              </a:lnTo>
              <a:lnTo>
                <a:pt x="6351462" y="103420"/>
              </a:lnTo>
              <a:lnTo>
                <a:pt x="6369521" y="96073"/>
              </a:lnTo>
              <a:lnTo>
                <a:pt x="6366478" y="95129"/>
              </a:lnTo>
              <a:lnTo>
                <a:pt x="6320976" y="93010"/>
              </a:lnTo>
              <a:lnTo>
                <a:pt x="6274819" y="92792"/>
              </a:lnTo>
              <a:lnTo>
                <a:pt x="6256380" y="92812"/>
              </a:lnTo>
              <a:lnTo>
                <a:pt x="6236450" y="92906"/>
              </a:lnTo>
              <a:lnTo>
                <a:pt x="6214982" y="93068"/>
              </a:lnTo>
              <a:lnTo>
                <a:pt x="6192169" y="93207"/>
              </a:lnTo>
              <a:lnTo>
                <a:pt x="6142985" y="93096"/>
              </a:lnTo>
              <a:lnTo>
                <a:pt x="6088898" y="92572"/>
              </a:lnTo>
              <a:lnTo>
                <a:pt x="6060530" y="92261"/>
              </a:lnTo>
              <a:lnTo>
                <a:pt x="6031247" y="91962"/>
              </a:lnTo>
              <a:lnTo>
                <a:pt x="5970031" y="91266"/>
              </a:lnTo>
              <a:lnTo>
                <a:pt x="5906854" y="90180"/>
              </a:lnTo>
              <a:lnTo>
                <a:pt x="5841717" y="88706"/>
              </a:lnTo>
              <a:lnTo>
                <a:pt x="5777489" y="86240"/>
              </a:lnTo>
              <a:lnTo>
                <a:pt x="5714171" y="82780"/>
              </a:lnTo>
              <a:lnTo>
                <a:pt x="5654701" y="79231"/>
              </a:lnTo>
              <a:lnTo>
                <a:pt x="5599081" y="75595"/>
              </a:lnTo>
              <a:lnTo>
                <a:pt x="5549378" y="71779"/>
              </a:lnTo>
              <a:lnTo>
                <a:pt x="5505593" y="67786"/>
              </a:lnTo>
              <a:lnTo>
                <a:pt x="5451618" y="61605"/>
              </a:lnTo>
              <a:lnTo>
                <a:pt x="5411648" y="54638"/>
              </a:lnTo>
              <a:lnTo>
                <a:pt x="5372228" y="38524"/>
              </a:lnTo>
              <a:lnTo>
                <a:pt x="5366711" y="31353"/>
              </a:lnTo>
              <a:lnTo>
                <a:pt x="5367501" y="27868"/>
              </a:lnTo>
              <a:lnTo>
                <a:pt x="5368866" y="24948"/>
              </a:lnTo>
              <a:lnTo>
                <a:pt x="5370231" y="22029"/>
              </a:lnTo>
              <a:lnTo>
                <a:pt x="5392896" y="10793"/>
              </a:lnTo>
              <a:lnTo>
                <a:pt x="5398621" y="8844"/>
              </a:lnTo>
              <a:lnTo>
                <a:pt x="5405586" y="7146"/>
              </a:lnTo>
              <a:lnTo>
                <a:pt x="5412007" y="5734"/>
              </a:lnTo>
              <a:lnTo>
                <a:pt x="5418429" y="4322"/>
              </a:lnTo>
              <a:lnTo>
                <a:pt x="5426289" y="3226"/>
              </a:lnTo>
              <a:lnTo>
                <a:pt x="5431427" y="2322"/>
              </a:lnTo>
              <a:lnTo>
                <a:pt x="5436565" y="1419"/>
              </a:lnTo>
              <a:lnTo>
                <a:pt x="5441916" y="0"/>
              </a:lnTo>
              <a:lnTo>
                <a:pt x="5442838" y="313"/>
              </a:lnTo>
              <a:lnTo>
                <a:pt x="5443760" y="628"/>
              </a:lnTo>
              <a:lnTo>
                <a:pt x="5400333" y="16707"/>
              </a:lnTo>
              <a:lnTo>
                <a:pt x="5361964" y="27460"/>
              </a:lnTo>
              <a:lnTo>
                <a:pt x="5313034" y="39828"/>
              </a:lnTo>
              <a:lnTo>
                <a:pt x="5274811" y="49130"/>
              </a:lnTo>
              <a:lnTo>
                <a:pt x="5253978" y="54083"/>
              </a:lnTo>
              <a:lnTo>
                <a:pt x="5232170" y="59296"/>
              </a:lnTo>
              <a:lnTo>
                <a:pt x="5209561" y="64826"/>
              </a:lnTo>
              <a:lnTo>
                <a:pt x="5186082" y="70763"/>
              </a:lnTo>
              <a:lnTo>
                <a:pt x="5161678" y="77052"/>
              </a:lnTo>
              <a:lnTo>
                <a:pt x="5136547" y="83532"/>
              </a:lnTo>
              <a:lnTo>
                <a:pt x="5110885" y="90042"/>
              </a:lnTo>
              <a:lnTo>
                <a:pt x="5057734" y="103274"/>
              </a:lnTo>
              <a:lnTo>
                <a:pt x="5002663" y="116596"/>
              </a:lnTo>
              <a:lnTo>
                <a:pt x="4945986" y="129600"/>
              </a:lnTo>
              <a:lnTo>
                <a:pt x="4917244" y="136062"/>
              </a:lnTo>
              <a:lnTo>
                <a:pt x="4888615" y="142546"/>
              </a:lnTo>
              <a:lnTo>
                <a:pt x="4860037" y="149048"/>
              </a:lnTo>
              <a:lnTo>
                <a:pt x="4831403" y="155553"/>
              </a:lnTo>
              <a:lnTo>
                <a:pt x="4802930" y="162079"/>
              </a:lnTo>
              <a:lnTo>
                <a:pt x="4747044" y="175278"/>
              </a:lnTo>
              <a:lnTo>
                <a:pt x="4692377" y="188646"/>
              </a:lnTo>
              <a:lnTo>
                <a:pt x="4640131" y="201772"/>
              </a:lnTo>
              <a:lnTo>
                <a:pt x="4590305" y="214656"/>
              </a:lnTo>
              <a:lnTo>
                <a:pt x="4566664" y="220794"/>
              </a:lnTo>
              <a:lnTo>
                <a:pt x="4521732" y="232393"/>
              </a:lnTo>
              <a:lnTo>
                <a:pt x="4480963" y="243113"/>
              </a:lnTo>
              <a:lnTo>
                <a:pt x="4429774" y="257336"/>
              </a:lnTo>
              <a:lnTo>
                <a:pt x="4388856" y="269566"/>
              </a:lnTo>
              <a:lnTo>
                <a:pt x="4348049" y="283234"/>
              </a:lnTo>
              <a:lnTo>
                <a:pt x="4324727" y="296702"/>
              </a:lnTo>
              <a:lnTo>
                <a:pt x="4326229" y="299787"/>
              </a:lnTo>
              <a:lnTo>
                <a:pt x="4327730" y="302872"/>
              </a:lnTo>
              <a:lnTo>
                <a:pt x="4374493" y="312941"/>
              </a:lnTo>
              <a:lnTo>
                <a:pt x="4418156" y="317273"/>
              </a:lnTo>
              <a:lnTo>
                <a:pt x="4471613" y="320621"/>
              </a:lnTo>
              <a:lnTo>
                <a:pt x="4511584" y="322307"/>
              </a:lnTo>
              <a:lnTo>
                <a:pt x="4552829" y="323631"/>
              </a:lnTo>
              <a:lnTo>
                <a:pt x="4595350" y="324593"/>
              </a:lnTo>
              <a:lnTo>
                <a:pt x="4635956" y="325331"/>
              </a:lnTo>
              <a:lnTo>
                <a:pt x="4674650" y="325844"/>
              </a:lnTo>
              <a:lnTo>
                <a:pt x="4692899" y="325884"/>
              </a:lnTo>
              <a:lnTo>
                <a:pt x="4710390" y="325719"/>
              </a:lnTo>
              <a:lnTo>
                <a:pt x="4758132" y="324492"/>
              </a:lnTo>
              <a:lnTo>
                <a:pt x="4796944" y="322789"/>
              </a:lnTo>
              <a:lnTo>
                <a:pt x="4835395" y="320384"/>
              </a:lnTo>
              <a:lnTo>
                <a:pt x="4843423" y="319816"/>
              </a:lnTo>
              <a:lnTo>
                <a:pt x="4851165" y="319278"/>
              </a:lnTo>
              <a:lnTo>
                <a:pt x="4858454" y="318760"/>
              </a:lnTo>
              <a:lnTo>
                <a:pt x="4865375" y="318271"/>
              </a:lnTo>
              <a:lnTo>
                <a:pt x="4872010" y="317817"/>
              </a:lnTo>
              <a:lnTo>
                <a:pt x="4880703" y="317237"/>
              </a:lnTo>
              <a:lnTo>
                <a:pt x="4888000" y="316748"/>
              </a:lnTo>
              <a:lnTo>
                <a:pt x="4895582" y="316341"/>
              </a:lnTo>
              <a:lnTo>
                <a:pt x="4903164" y="315935"/>
              </a:lnTo>
              <a:lnTo>
                <a:pt x="4910413" y="315631"/>
              </a:lnTo>
              <a:lnTo>
                <a:pt x="4950609" y="314648"/>
              </a:lnTo>
              <a:lnTo>
                <a:pt x="4967885" y="314551"/>
              </a:lnTo>
              <a:lnTo>
                <a:pt x="4971530" y="314552"/>
              </a:lnTo>
              <a:lnTo>
                <a:pt x="4975174" y="314554"/>
              </a:lnTo>
              <a:lnTo>
                <a:pt x="4977876" y="314583"/>
              </a:lnTo>
              <a:lnTo>
                <a:pt x="4978048" y="314609"/>
              </a:lnTo>
              <a:lnTo>
                <a:pt x="4978219" y="314635"/>
              </a:lnTo>
              <a:lnTo>
                <a:pt x="4976854" y="314674"/>
              </a:lnTo>
              <a:lnTo>
                <a:pt x="4972558" y="314707"/>
              </a:lnTo>
              <a:lnTo>
                <a:pt x="4968263" y="314742"/>
              </a:lnTo>
              <a:lnTo>
                <a:pt x="4929138" y="316018"/>
              </a:lnTo>
              <a:lnTo>
                <a:pt x="4919936" y="316519"/>
              </a:lnTo>
              <a:lnTo>
                <a:pt x="4909946" y="317041"/>
              </a:lnTo>
              <a:lnTo>
                <a:pt x="4899182" y="317604"/>
              </a:lnTo>
              <a:lnTo>
                <a:pt x="4887742" y="318180"/>
              </a:lnTo>
              <a:lnTo>
                <a:pt x="4835849" y="320345"/>
              </a:lnTo>
              <a:lnTo>
                <a:pt x="4792524" y="321735"/>
              </a:lnTo>
              <a:lnTo>
                <a:pt x="4747144" y="322860"/>
              </a:lnTo>
              <a:lnTo>
                <a:pt x="4700581" y="323705"/>
              </a:lnTo>
              <a:lnTo>
                <a:pt x="4651767" y="324293"/>
              </a:lnTo>
              <a:lnTo>
                <a:pt x="4601351" y="324673"/>
              </a:lnTo>
              <a:lnTo>
                <a:pt x="4551416" y="324887"/>
              </a:lnTo>
              <a:lnTo>
                <a:pt x="4504268" y="324977"/>
              </a:lnTo>
              <a:lnTo>
                <a:pt x="4475554" y="324991"/>
              </a:lnTo>
              <a:lnTo>
                <a:pt x="4461915" y="324987"/>
              </a:lnTo>
              <a:lnTo>
                <a:pt x="4423301" y="324949"/>
              </a:lnTo>
              <a:lnTo>
                <a:pt x="4379509" y="324759"/>
              </a:lnTo>
              <a:lnTo>
                <a:pt x="4370189" y="324722"/>
              </a:lnTo>
              <a:lnTo>
                <a:pt x="4332934" y="326339"/>
              </a:lnTo>
              <a:lnTo>
                <a:pt x="4324245" y="326941"/>
              </a:lnTo>
              <a:lnTo>
                <a:pt x="4316405" y="327740"/>
              </a:lnTo>
              <a:lnTo>
                <a:pt x="4309361" y="328421"/>
              </a:lnTo>
              <a:lnTo>
                <a:pt x="4302316" y="329101"/>
              </a:lnTo>
              <a:lnTo>
                <a:pt x="4296232" y="329819"/>
              </a:lnTo>
              <a:lnTo>
                <a:pt x="4290667" y="330424"/>
              </a:lnTo>
              <a:lnTo>
                <a:pt x="4285102" y="331027"/>
              </a:lnTo>
              <a:lnTo>
                <a:pt x="4280390" y="331583"/>
              </a:lnTo>
              <a:lnTo>
                <a:pt x="4275971" y="332047"/>
              </a:lnTo>
              <a:lnTo>
                <a:pt x="4271552" y="332511"/>
              </a:lnTo>
              <a:lnTo>
                <a:pt x="4268327" y="332621"/>
              </a:lnTo>
              <a:lnTo>
                <a:pt x="4264151" y="333206"/>
              </a:lnTo>
              <a:lnTo>
                <a:pt x="4259975" y="333790"/>
              </a:lnTo>
              <a:lnTo>
                <a:pt x="4255881" y="334738"/>
              </a:lnTo>
              <a:lnTo>
                <a:pt x="4250915" y="335553"/>
              </a:lnTo>
              <a:lnTo>
                <a:pt x="4215718" y="340307"/>
              </a:lnTo>
              <a:lnTo>
                <a:pt x="4209318" y="340954"/>
              </a:lnTo>
              <a:lnTo>
                <a:pt x="4203159" y="341241"/>
              </a:lnTo>
              <a:lnTo>
                <a:pt x="4195959" y="341975"/>
              </a:lnTo>
              <a:lnTo>
                <a:pt x="4188759" y="342707"/>
              </a:lnTo>
              <a:lnTo>
                <a:pt x="4180786" y="343785"/>
              </a:lnTo>
              <a:lnTo>
                <a:pt x="4172519" y="344706"/>
              </a:lnTo>
              <a:lnTo>
                <a:pt x="4166288" y="345412"/>
              </a:lnTo>
              <a:lnTo>
                <a:pt x="4123469" y="349330"/>
              </a:lnTo>
              <a:lnTo>
                <a:pt x="4078696" y="351601"/>
              </a:lnTo>
              <a:lnTo>
                <a:pt x="4036030" y="352731"/>
              </a:lnTo>
              <a:lnTo>
                <a:pt x="3991046" y="353367"/>
              </a:lnTo>
              <a:lnTo>
                <a:pt x="3944445" y="353646"/>
              </a:lnTo>
              <a:lnTo>
                <a:pt x="3910863" y="353701"/>
              </a:lnTo>
              <a:lnTo>
                <a:pt x="3900095" y="353700"/>
              </a:lnTo>
              <a:lnTo>
                <a:pt x="3859549" y="353633"/>
              </a:lnTo>
              <a:lnTo>
                <a:pt x="3821313" y="353516"/>
              </a:lnTo>
              <a:lnTo>
                <a:pt x="3795512" y="353423"/>
              </a:lnTo>
              <a:lnTo>
                <a:pt x="3787492" y="353393"/>
              </a:lnTo>
              <a:lnTo>
                <a:pt x="3779751" y="353366"/>
              </a:lnTo>
              <a:lnTo>
                <a:pt x="3772289" y="353339"/>
              </a:lnTo>
              <a:lnTo>
                <a:pt x="3765152" y="353314"/>
              </a:lnTo>
              <a:lnTo>
                <a:pt x="3758386" y="353290"/>
              </a:lnTo>
              <a:lnTo>
                <a:pt x="3749631" y="353260"/>
              </a:lnTo>
              <a:lnTo>
                <a:pt x="3741904" y="353235"/>
              </a:lnTo>
              <a:lnTo>
                <a:pt x="3734964" y="353214"/>
              </a:lnTo>
              <a:lnTo>
                <a:pt x="3728024" y="353192"/>
              </a:lnTo>
              <a:lnTo>
                <a:pt x="3722139" y="353176"/>
              </a:lnTo>
              <a:lnTo>
                <a:pt x="3716746" y="353163"/>
              </a:lnTo>
              <a:lnTo>
                <a:pt x="3711353" y="353150"/>
              </a:lnTo>
              <a:lnTo>
                <a:pt x="3706849" y="353142"/>
              </a:lnTo>
              <a:lnTo>
                <a:pt x="3702605" y="353135"/>
              </a:lnTo>
              <a:lnTo>
                <a:pt x="3698362" y="353128"/>
              </a:lnTo>
              <a:lnTo>
                <a:pt x="3694774" y="353124"/>
              </a:lnTo>
              <a:lnTo>
                <a:pt x="3691287" y="353121"/>
              </a:lnTo>
              <a:lnTo>
                <a:pt x="3687800" y="353119"/>
              </a:lnTo>
              <a:lnTo>
                <a:pt x="3685010" y="353119"/>
              </a:lnTo>
              <a:lnTo>
                <a:pt x="3681683" y="353119"/>
              </a:lnTo>
              <a:lnTo>
                <a:pt x="3678357" y="353119"/>
              </a:lnTo>
              <a:lnTo>
                <a:pt x="3675359" y="353121"/>
              </a:lnTo>
              <a:lnTo>
                <a:pt x="3671327" y="353121"/>
              </a:lnTo>
              <a:lnTo>
                <a:pt x="3667296" y="353123"/>
              </a:lnTo>
              <a:lnTo>
                <a:pt x="3663083" y="353124"/>
              </a:lnTo>
              <a:lnTo>
                <a:pt x="3657494" y="353127"/>
              </a:lnTo>
              <a:lnTo>
                <a:pt x="3651904" y="353128"/>
              </a:lnTo>
              <a:lnTo>
                <a:pt x="3645369" y="353130"/>
              </a:lnTo>
              <a:lnTo>
                <a:pt x="3637790" y="353131"/>
              </a:lnTo>
              <a:lnTo>
                <a:pt x="3632008" y="353171"/>
              </a:lnTo>
              <a:lnTo>
                <a:pt x="3625908" y="353235"/>
              </a:lnTo>
              <a:lnTo>
                <a:pt x="3619306" y="353249"/>
              </a:lnTo>
              <a:lnTo>
                <a:pt x="3612017" y="353136"/>
              </a:lnTo>
              <a:lnTo>
                <a:pt x="3603942" y="352859"/>
              </a:lnTo>
              <a:lnTo>
                <a:pt x="3595195" y="352463"/>
              </a:lnTo>
              <a:lnTo>
                <a:pt x="3585917" y="352000"/>
              </a:lnTo>
              <a:lnTo>
                <a:pt x="3576246" y="351520"/>
              </a:lnTo>
              <a:lnTo>
                <a:pt x="3566181" y="351055"/>
              </a:lnTo>
              <a:lnTo>
                <a:pt x="3555660" y="350572"/>
              </a:lnTo>
              <a:lnTo>
                <a:pt x="3544734" y="350025"/>
              </a:lnTo>
              <a:lnTo>
                <a:pt x="3533452" y="349367"/>
              </a:lnTo>
              <a:lnTo>
                <a:pt x="3521748" y="348559"/>
              </a:lnTo>
              <a:lnTo>
                <a:pt x="3509622" y="347634"/>
              </a:lnTo>
              <a:lnTo>
                <a:pt x="3497223" y="346657"/>
              </a:lnTo>
              <a:lnTo>
                <a:pt x="3484698" y="345693"/>
              </a:lnTo>
              <a:lnTo>
                <a:pt x="3471948" y="344736"/>
              </a:lnTo>
              <a:lnTo>
                <a:pt x="3458941" y="343760"/>
              </a:lnTo>
              <a:lnTo>
                <a:pt x="3445924" y="342797"/>
              </a:lnTo>
              <a:lnTo>
                <a:pt x="3433147" y="341882"/>
              </a:lnTo>
              <a:lnTo>
                <a:pt x="3420674" y="341052"/>
              </a:lnTo>
              <a:lnTo>
                <a:pt x="3408374" y="340279"/>
              </a:lnTo>
              <a:lnTo>
                <a:pt x="3396198" y="339500"/>
              </a:lnTo>
              <a:lnTo>
                <a:pt x="3348000" y="335640"/>
              </a:lnTo>
              <a:lnTo>
                <a:pt x="3304341" y="331787"/>
              </a:lnTo>
              <a:lnTo>
                <a:pt x="3294562" y="330918"/>
              </a:lnTo>
              <a:lnTo>
                <a:pt x="3253802" y="327382"/>
              </a:lnTo>
              <a:lnTo>
                <a:pt x="3222271" y="325252"/>
              </a:lnTo>
              <a:lnTo>
                <a:pt x="3216902" y="324664"/>
              </a:lnTo>
              <a:lnTo>
                <a:pt x="3211533" y="324076"/>
              </a:lnTo>
              <a:lnTo>
                <a:pt x="3207286" y="323171"/>
              </a:lnTo>
              <a:lnTo>
                <a:pt x="3203271" y="322395"/>
              </a:lnTo>
              <a:lnTo>
                <a:pt x="3199256" y="321619"/>
              </a:lnTo>
              <a:lnTo>
                <a:pt x="3196549" y="320746"/>
              </a:lnTo>
              <a:lnTo>
                <a:pt x="3192813" y="320008"/>
              </a:lnTo>
              <a:lnTo>
                <a:pt x="3154142" y="315707"/>
              </a:lnTo>
              <a:lnTo>
                <a:pt x="3112332" y="314710"/>
              </a:lnTo>
              <a:lnTo>
                <a:pt x="3069287" y="314551"/>
              </a:lnTo>
              <a:lnTo>
                <a:pt x="3061616" y="314555"/>
              </a:lnTo>
              <a:lnTo>
                <a:pt x="3021399" y="314646"/>
              </a:lnTo>
              <a:lnTo>
                <a:pt x="3012985" y="314672"/>
              </a:lnTo>
              <a:lnTo>
                <a:pt x="3004586" y="314698"/>
              </a:lnTo>
              <a:lnTo>
                <a:pt x="2996120" y="314724"/>
              </a:lnTo>
              <a:lnTo>
                <a:pt x="2987576" y="314751"/>
              </a:lnTo>
              <a:lnTo>
                <a:pt x="2979151" y="314777"/>
              </a:lnTo>
              <a:lnTo>
                <a:pt x="2971040" y="314802"/>
              </a:lnTo>
              <a:lnTo>
                <a:pt x="2963243" y="314826"/>
              </a:lnTo>
              <a:lnTo>
                <a:pt x="2955674" y="314849"/>
              </a:lnTo>
              <a:lnTo>
                <a:pt x="2917316" y="314959"/>
              </a:lnTo>
              <a:lnTo>
                <a:pt x="2898338" y="315004"/>
              </a:lnTo>
              <a:lnTo>
                <a:pt x="2892441" y="315016"/>
              </a:lnTo>
              <a:lnTo>
                <a:pt x="2857798" y="315045"/>
              </a:lnTo>
              <a:lnTo>
                <a:pt x="2852784" y="315045"/>
              </a:lnTo>
              <a:lnTo>
                <a:pt x="2847770" y="315045"/>
              </a:lnTo>
              <a:lnTo>
                <a:pt x="2843228" y="315044"/>
              </a:lnTo>
              <a:lnTo>
                <a:pt x="2837908" y="315042"/>
              </a:lnTo>
              <a:lnTo>
                <a:pt x="2832589" y="315042"/>
              </a:lnTo>
              <a:lnTo>
                <a:pt x="2826784" y="315040"/>
              </a:lnTo>
              <a:lnTo>
                <a:pt x="2820865" y="315038"/>
              </a:lnTo>
              <a:lnTo>
                <a:pt x="2814946" y="315037"/>
              </a:lnTo>
              <a:lnTo>
                <a:pt x="2808417" y="315035"/>
              </a:lnTo>
              <a:lnTo>
                <a:pt x="2802394" y="315034"/>
              </a:lnTo>
              <a:lnTo>
                <a:pt x="2796372" y="315032"/>
              </a:lnTo>
              <a:lnTo>
                <a:pt x="2790590" y="315031"/>
              </a:lnTo>
              <a:lnTo>
                <a:pt x="2784729" y="315030"/>
              </a:lnTo>
              <a:lnTo>
                <a:pt x="2778868" y="315028"/>
              </a:lnTo>
              <a:lnTo>
                <a:pt x="2773363" y="315028"/>
              </a:lnTo>
              <a:lnTo>
                <a:pt x="2767228" y="315027"/>
              </a:lnTo>
              <a:lnTo>
                <a:pt x="2761093" y="315026"/>
              </a:lnTo>
              <a:lnTo>
                <a:pt x="2754501" y="315025"/>
              </a:lnTo>
              <a:lnTo>
                <a:pt x="2747921" y="315025"/>
              </a:lnTo>
              <a:lnTo>
                <a:pt x="2741342" y="315024"/>
              </a:lnTo>
              <a:lnTo>
                <a:pt x="2734246" y="315024"/>
              </a:lnTo>
              <a:lnTo>
                <a:pt x="2727753" y="315024"/>
              </a:lnTo>
              <a:lnTo>
                <a:pt x="2721260" y="315024"/>
              </a:lnTo>
              <a:lnTo>
                <a:pt x="2714848" y="315024"/>
              </a:lnTo>
              <a:lnTo>
                <a:pt x="2708961" y="315023"/>
              </a:lnTo>
              <a:lnTo>
                <a:pt x="2703074" y="315023"/>
              </a:lnTo>
              <a:lnTo>
                <a:pt x="2669813" y="315023"/>
              </a:lnTo>
              <a:lnTo>
                <a:pt x="2665968" y="315024"/>
              </a:lnTo>
              <a:lnTo>
                <a:pt x="2662124" y="315024"/>
              </a:lnTo>
              <a:lnTo>
                <a:pt x="2658873" y="315024"/>
              </a:lnTo>
              <a:lnTo>
                <a:pt x="2655154" y="315024"/>
              </a:lnTo>
              <a:lnTo>
                <a:pt x="2651435" y="315024"/>
              </a:lnTo>
              <a:lnTo>
                <a:pt x="2647490" y="314754"/>
              </a:lnTo>
              <a:lnTo>
                <a:pt x="2643656" y="315024"/>
              </a:lnTo>
              <a:lnTo>
                <a:pt x="2639823" y="315293"/>
              </a:lnTo>
              <a:lnTo>
                <a:pt x="2636201" y="316014"/>
              </a:lnTo>
              <a:lnTo>
                <a:pt x="2632151" y="316644"/>
              </a:lnTo>
              <a:lnTo>
                <a:pt x="2628101" y="317273"/>
              </a:lnTo>
              <a:lnTo>
                <a:pt x="2623906" y="318097"/>
              </a:lnTo>
              <a:lnTo>
                <a:pt x="2619356" y="318799"/>
              </a:lnTo>
              <a:lnTo>
                <a:pt x="2614806" y="319500"/>
              </a:lnTo>
              <a:lnTo>
                <a:pt x="2609957" y="320236"/>
              </a:lnTo>
              <a:lnTo>
                <a:pt x="2604850" y="320854"/>
              </a:lnTo>
              <a:lnTo>
                <a:pt x="2599743" y="321473"/>
              </a:lnTo>
              <a:lnTo>
                <a:pt x="2595121" y="321769"/>
              </a:lnTo>
              <a:lnTo>
                <a:pt x="2588712" y="322511"/>
              </a:lnTo>
              <a:lnTo>
                <a:pt x="2582304" y="323253"/>
              </a:lnTo>
              <a:lnTo>
                <a:pt x="2574529" y="324360"/>
              </a:lnTo>
              <a:lnTo>
                <a:pt x="2566398" y="325307"/>
              </a:lnTo>
              <a:lnTo>
                <a:pt x="2525123" y="329487"/>
              </a:lnTo>
              <a:lnTo>
                <a:pt x="2484135" y="332057"/>
              </a:lnTo>
              <a:lnTo>
                <a:pt x="2440914" y="333632"/>
              </a:lnTo>
              <a:lnTo>
                <a:pt x="2396702" y="334405"/>
              </a:lnTo>
              <a:lnTo>
                <a:pt x="2372023" y="334596"/>
              </a:lnTo>
              <a:lnTo>
                <a:pt x="2364539" y="334593"/>
              </a:lnTo>
              <a:lnTo>
                <a:pt x="2357396" y="334548"/>
              </a:lnTo>
              <a:lnTo>
                <a:pt x="2350545" y="334543"/>
              </a:lnTo>
              <a:lnTo>
                <a:pt x="2343935" y="334657"/>
              </a:lnTo>
              <a:lnTo>
                <a:pt x="2335262" y="334927"/>
              </a:lnTo>
              <a:lnTo>
                <a:pt x="2327483" y="335613"/>
              </a:lnTo>
              <a:lnTo>
                <a:pt x="2319981" y="336211"/>
              </a:lnTo>
              <a:lnTo>
                <a:pt x="2312478" y="336809"/>
              </a:lnTo>
              <a:lnTo>
                <a:pt x="2305644" y="337585"/>
              </a:lnTo>
              <a:lnTo>
                <a:pt x="2298922" y="338246"/>
              </a:lnTo>
              <a:lnTo>
                <a:pt x="2292201" y="338907"/>
              </a:lnTo>
              <a:lnTo>
                <a:pt x="2285920" y="339596"/>
              </a:lnTo>
              <a:lnTo>
                <a:pt x="2279651" y="340176"/>
              </a:lnTo>
              <a:lnTo>
                <a:pt x="2273382" y="340755"/>
              </a:lnTo>
              <a:lnTo>
                <a:pt x="2267365" y="341284"/>
              </a:lnTo>
              <a:lnTo>
                <a:pt x="2261308" y="341725"/>
              </a:lnTo>
              <a:lnTo>
                <a:pt x="2255250" y="342166"/>
              </a:lnTo>
              <a:lnTo>
                <a:pt x="2249308" y="342524"/>
              </a:lnTo>
              <a:lnTo>
                <a:pt x="2243305" y="342820"/>
              </a:lnTo>
              <a:lnTo>
                <a:pt x="2237302" y="343117"/>
              </a:lnTo>
              <a:lnTo>
                <a:pt x="2231327" y="343059"/>
              </a:lnTo>
              <a:lnTo>
                <a:pt x="2225291" y="343503"/>
              </a:lnTo>
              <a:lnTo>
                <a:pt x="2219256" y="343948"/>
              </a:lnTo>
              <a:lnTo>
                <a:pt x="2213199" y="344771"/>
              </a:lnTo>
              <a:lnTo>
                <a:pt x="2207093" y="345483"/>
              </a:lnTo>
              <a:lnTo>
                <a:pt x="2200987" y="346195"/>
              </a:lnTo>
              <a:lnTo>
                <a:pt x="2195109" y="346780"/>
              </a:lnTo>
              <a:lnTo>
                <a:pt x="2188655" y="347775"/>
              </a:lnTo>
              <a:lnTo>
                <a:pt x="2182200" y="348770"/>
              </a:lnTo>
              <a:lnTo>
                <a:pt x="2175520" y="350217"/>
              </a:lnTo>
              <a:lnTo>
                <a:pt x="2168368" y="351454"/>
              </a:lnTo>
              <a:lnTo>
                <a:pt x="2161216" y="352692"/>
              </a:lnTo>
              <a:lnTo>
                <a:pt x="2153649" y="354052"/>
              </a:lnTo>
              <a:lnTo>
                <a:pt x="2145744" y="355200"/>
              </a:lnTo>
              <a:lnTo>
                <a:pt x="2107170" y="359500"/>
              </a:lnTo>
              <a:lnTo>
                <a:pt x="2100011" y="360037"/>
              </a:lnTo>
              <a:lnTo>
                <a:pt x="2092767" y="360652"/>
              </a:lnTo>
              <a:lnTo>
                <a:pt x="2085426" y="361377"/>
              </a:lnTo>
              <a:lnTo>
                <a:pt x="2077957" y="362168"/>
              </a:lnTo>
              <a:lnTo>
                <a:pt x="2070414" y="362980"/>
              </a:lnTo>
              <a:lnTo>
                <a:pt x="2062846" y="363770"/>
              </a:lnTo>
              <a:lnTo>
                <a:pt x="2024624" y="367423"/>
              </a:lnTo>
              <a:lnTo>
                <a:pt x="1986345" y="370128"/>
              </a:lnTo>
              <a:lnTo>
                <a:pt x="1944943" y="371989"/>
              </a:lnTo>
              <a:lnTo>
                <a:pt x="1921517" y="372566"/>
              </a:lnTo>
              <a:lnTo>
                <a:pt x="1914362" y="372701"/>
              </a:lnTo>
              <a:lnTo>
                <a:pt x="1908173" y="372753"/>
              </a:lnTo>
              <a:lnTo>
                <a:pt x="1902009" y="372793"/>
              </a:lnTo>
              <a:lnTo>
                <a:pt x="1895846" y="372833"/>
              </a:lnTo>
              <a:lnTo>
                <a:pt x="1889966" y="372820"/>
              </a:lnTo>
              <a:lnTo>
                <a:pt x="1884535" y="372806"/>
              </a:lnTo>
              <a:lnTo>
                <a:pt x="1879105" y="372792"/>
              </a:lnTo>
              <a:lnTo>
                <a:pt x="1874379" y="372749"/>
              </a:lnTo>
              <a:lnTo>
                <a:pt x="1869428" y="372710"/>
              </a:lnTo>
              <a:lnTo>
                <a:pt x="1864478" y="372671"/>
              </a:lnTo>
              <a:lnTo>
                <a:pt x="1859781" y="372620"/>
              </a:lnTo>
              <a:lnTo>
                <a:pt x="1854831" y="372576"/>
              </a:lnTo>
              <a:lnTo>
                <a:pt x="1849881" y="372532"/>
              </a:lnTo>
              <a:lnTo>
                <a:pt x="1844917" y="372485"/>
              </a:lnTo>
              <a:lnTo>
                <a:pt x="1839729" y="372445"/>
              </a:lnTo>
              <a:lnTo>
                <a:pt x="1834540" y="372405"/>
              </a:lnTo>
              <a:lnTo>
                <a:pt x="1829476" y="372369"/>
              </a:lnTo>
              <a:lnTo>
                <a:pt x="1823700" y="372339"/>
              </a:lnTo>
              <a:lnTo>
                <a:pt x="1817923" y="372308"/>
              </a:lnTo>
              <a:lnTo>
                <a:pt x="1811779" y="372283"/>
              </a:lnTo>
              <a:lnTo>
                <a:pt x="1805070" y="372262"/>
              </a:lnTo>
              <a:lnTo>
                <a:pt x="1798360" y="372241"/>
              </a:lnTo>
              <a:lnTo>
                <a:pt x="1755893" y="372188"/>
              </a:lnTo>
              <a:lnTo>
                <a:pt x="1714945" y="372176"/>
              </a:lnTo>
              <a:lnTo>
                <a:pt x="1706079" y="372176"/>
              </a:lnTo>
              <a:lnTo>
                <a:pt x="1697043" y="372176"/>
              </a:lnTo>
              <a:lnTo>
                <a:pt x="1687895" y="372176"/>
              </a:lnTo>
              <a:lnTo>
                <a:pt x="1640750" y="372181"/>
              </a:lnTo>
              <a:lnTo>
                <a:pt x="1612831" y="372186"/>
              </a:lnTo>
              <a:lnTo>
                <a:pt x="1603496" y="372187"/>
              </a:lnTo>
              <a:lnTo>
                <a:pt x="1594146" y="372189"/>
              </a:lnTo>
              <a:lnTo>
                <a:pt x="1584847" y="372190"/>
              </a:lnTo>
              <a:lnTo>
                <a:pt x="1575664" y="372192"/>
              </a:lnTo>
              <a:lnTo>
                <a:pt x="1566559" y="372193"/>
              </a:lnTo>
              <a:lnTo>
                <a:pt x="1557517" y="372194"/>
              </a:lnTo>
              <a:lnTo>
                <a:pt x="1548634" y="372195"/>
              </a:lnTo>
              <a:lnTo>
                <a:pt x="1540006" y="372196"/>
              </a:lnTo>
              <a:lnTo>
                <a:pt x="1531679" y="372197"/>
              </a:lnTo>
              <a:lnTo>
                <a:pt x="1523593" y="372198"/>
              </a:lnTo>
              <a:lnTo>
                <a:pt x="1515694" y="372199"/>
              </a:lnTo>
              <a:lnTo>
                <a:pt x="1507925" y="372200"/>
              </a:lnTo>
              <a:lnTo>
                <a:pt x="1500262" y="372201"/>
              </a:lnTo>
              <a:lnTo>
                <a:pt x="1492737" y="372201"/>
              </a:lnTo>
              <a:lnTo>
                <a:pt x="1485381" y="372201"/>
              </a:lnTo>
              <a:lnTo>
                <a:pt x="1478222" y="372202"/>
              </a:lnTo>
              <a:lnTo>
                <a:pt x="1471269" y="372202"/>
              </a:lnTo>
              <a:lnTo>
                <a:pt x="1464507" y="372203"/>
              </a:lnTo>
              <a:lnTo>
                <a:pt x="1457926" y="372203"/>
              </a:lnTo>
              <a:lnTo>
                <a:pt x="1451517" y="372203"/>
              </a:lnTo>
              <a:lnTo>
                <a:pt x="1443081" y="372203"/>
              </a:lnTo>
              <a:lnTo>
                <a:pt x="1435478" y="372203"/>
              </a:lnTo>
              <a:lnTo>
                <a:pt x="1427609" y="372203"/>
              </a:lnTo>
              <a:lnTo>
                <a:pt x="1419740" y="372204"/>
              </a:lnTo>
              <a:lnTo>
                <a:pt x="1412170" y="372204"/>
              </a:lnTo>
              <a:lnTo>
                <a:pt x="1404301" y="372204"/>
              </a:lnTo>
              <a:lnTo>
                <a:pt x="1396432" y="372204"/>
              </a:lnTo>
              <a:lnTo>
                <a:pt x="1388276" y="372203"/>
              </a:lnTo>
              <a:lnTo>
                <a:pt x="1307894" y="372203"/>
              </a:lnTo>
              <a:lnTo>
                <a:pt x="1301436" y="372203"/>
              </a:lnTo>
              <a:lnTo>
                <a:pt x="1294904" y="372202"/>
              </a:lnTo>
              <a:lnTo>
                <a:pt x="1288306" y="372202"/>
              </a:lnTo>
              <a:lnTo>
                <a:pt x="1281649" y="372202"/>
              </a:lnTo>
              <a:lnTo>
                <a:pt x="1274968" y="372202"/>
              </a:lnTo>
              <a:lnTo>
                <a:pt x="1268248" y="372202"/>
              </a:lnTo>
              <a:lnTo>
                <a:pt x="482887" y="372202"/>
              </a:lnTo>
              <a:lnTo>
                <a:pt x="473588" y="372240"/>
              </a:lnTo>
              <a:lnTo>
                <a:pt x="464324" y="372304"/>
              </a:lnTo>
              <a:lnTo>
                <a:pt x="455207" y="372316"/>
              </a:lnTo>
              <a:lnTo>
                <a:pt x="446349" y="372202"/>
              </a:lnTo>
              <a:lnTo>
                <a:pt x="405726" y="370079"/>
              </a:lnTo>
              <a:lnTo>
                <a:pt x="384503" y="368427"/>
              </a:lnTo>
              <a:lnTo>
                <a:pt x="375778" y="367726"/>
              </a:lnTo>
              <a:lnTo>
                <a:pt x="368266" y="366991"/>
              </a:lnTo>
              <a:lnTo>
                <a:pt x="361004" y="366372"/>
              </a:lnTo>
              <a:lnTo>
                <a:pt x="353743" y="365753"/>
              </a:lnTo>
              <a:lnTo>
                <a:pt x="347311" y="365457"/>
              </a:lnTo>
              <a:lnTo>
                <a:pt x="340936" y="364715"/>
              </a:lnTo>
              <a:lnTo>
                <a:pt x="334561" y="363973"/>
              </a:lnTo>
              <a:lnTo>
                <a:pt x="328682" y="362867"/>
              </a:lnTo>
              <a:lnTo>
                <a:pt x="322753" y="361920"/>
              </a:lnTo>
              <a:lnTo>
                <a:pt x="316824" y="360972"/>
              </a:lnTo>
              <a:lnTo>
                <a:pt x="310870" y="359919"/>
              </a:lnTo>
              <a:lnTo>
                <a:pt x="305362" y="359030"/>
              </a:lnTo>
              <a:lnTo>
                <a:pt x="279986" y="355544"/>
              </a:lnTo>
              <a:lnTo>
                <a:pt x="275950" y="354776"/>
              </a:lnTo>
              <a:lnTo>
                <a:pt x="261486" y="349294"/>
              </a:lnTo>
              <a:lnTo>
                <a:pt x="261694" y="347533"/>
              </a:lnTo>
              <a:lnTo>
                <a:pt x="261903" y="345771"/>
              </a:lnTo>
              <a:lnTo>
                <a:pt x="263924" y="343684"/>
              </a:lnTo>
              <a:lnTo>
                <a:pt x="266739" y="341405"/>
              </a:lnTo>
              <a:lnTo>
                <a:pt x="269555" y="339125"/>
              </a:lnTo>
              <a:lnTo>
                <a:pt x="273597" y="336547"/>
              </a:lnTo>
              <a:lnTo>
                <a:pt x="278589" y="333857"/>
              </a:lnTo>
              <a:lnTo>
                <a:pt x="283580" y="331165"/>
              </a:lnTo>
              <a:lnTo>
                <a:pt x="314617" y="318459"/>
              </a:lnTo>
              <a:lnTo>
                <a:pt x="321319" y="315983"/>
              </a:lnTo>
              <a:lnTo>
                <a:pt x="328417" y="313319"/>
              </a:lnTo>
              <a:lnTo>
                <a:pt x="335911" y="310511"/>
              </a:lnTo>
              <a:lnTo>
                <a:pt x="343657" y="307617"/>
              </a:lnTo>
              <a:lnTo>
                <a:pt x="351512" y="304700"/>
              </a:lnTo>
              <a:lnTo>
                <a:pt x="359422" y="301713"/>
              </a:lnTo>
              <a:lnTo>
                <a:pt x="402194" y="287397"/>
              </a:lnTo>
              <a:lnTo>
                <a:pt x="439183" y="277660"/>
              </a:lnTo>
              <a:lnTo>
                <a:pt x="476589" y="268614"/>
              </a:lnTo>
              <a:lnTo>
                <a:pt x="485997" y="266412"/>
              </a:lnTo>
              <a:lnTo>
                <a:pt x="495298" y="264212"/>
              </a:lnTo>
              <a:lnTo>
                <a:pt x="504493" y="261978"/>
              </a:lnTo>
              <a:lnTo>
                <a:pt x="513617" y="259728"/>
              </a:lnTo>
              <a:lnTo>
                <a:pt x="522641" y="257530"/>
              </a:lnTo>
              <a:lnTo>
                <a:pt x="565829" y="248239"/>
              </a:lnTo>
              <a:lnTo>
                <a:pt x="605976" y="242026"/>
              </a:lnTo>
              <a:lnTo>
                <a:pt x="644421" y="238628"/>
              </a:lnTo>
              <a:lnTo>
                <a:pt x="683989" y="237241"/>
              </a:lnTo>
              <a:lnTo>
                <a:pt x="722279" y="237013"/>
              </a:lnTo>
              <a:lnTo>
                <a:pt x="733478" y="237028"/>
              </a:lnTo>
              <a:lnTo>
                <a:pt x="745421" y="237064"/>
              </a:lnTo>
              <a:lnTo>
                <a:pt x="758050" y="237124"/>
              </a:lnTo>
              <a:lnTo>
                <a:pt x="771508" y="237200"/>
              </a:lnTo>
              <a:lnTo>
                <a:pt x="785936" y="237280"/>
              </a:lnTo>
              <a:lnTo>
                <a:pt x="801382" y="237366"/>
              </a:lnTo>
              <a:lnTo>
                <a:pt x="817767" y="237463"/>
              </a:lnTo>
              <a:lnTo>
                <a:pt x="835044" y="237563"/>
              </a:lnTo>
              <a:lnTo>
                <a:pt x="892029" y="237857"/>
              </a:lnTo>
              <a:lnTo>
                <a:pt x="934186" y="238044"/>
              </a:lnTo>
              <a:lnTo>
                <a:pt x="979580" y="238212"/>
              </a:lnTo>
              <a:lnTo>
                <a:pt x="1027773" y="238361"/>
              </a:lnTo>
              <a:lnTo>
                <a:pt x="1078644" y="238486"/>
              </a:lnTo>
              <a:lnTo>
                <a:pt x="1131186" y="238591"/>
              </a:lnTo>
              <a:lnTo>
                <a:pt x="1184453" y="238675"/>
              </a:lnTo>
              <a:lnTo>
                <a:pt x="1238138" y="238740"/>
              </a:lnTo>
              <a:lnTo>
                <a:pt x="1292159" y="238788"/>
              </a:lnTo>
              <a:lnTo>
                <a:pt x="1344887" y="238822"/>
              </a:lnTo>
              <a:lnTo>
                <a:pt x="1370065" y="238873"/>
              </a:lnTo>
              <a:lnTo>
                <a:pt x="1394660" y="238945"/>
              </a:lnTo>
              <a:lnTo>
                <a:pt x="1418519" y="238965"/>
              </a:lnTo>
              <a:lnTo>
                <a:pt x="1441490" y="238857"/>
              </a:lnTo>
              <a:lnTo>
                <a:pt x="1484932" y="238187"/>
              </a:lnTo>
              <a:lnTo>
                <a:pt x="1524703" y="237242"/>
              </a:lnTo>
              <a:lnTo>
                <a:pt x="1576753" y="235625"/>
              </a:lnTo>
              <a:lnTo>
                <a:pt x="1618746" y="234011"/>
              </a:lnTo>
              <a:lnTo>
                <a:pt x="1641370" y="233005"/>
              </a:lnTo>
              <a:lnTo>
                <a:pt x="1651191" y="232585"/>
              </a:lnTo>
              <a:lnTo>
                <a:pt x="1690726" y="229474"/>
              </a:lnTo>
              <a:lnTo>
                <a:pt x="1696917" y="228522"/>
              </a:lnTo>
              <a:lnTo>
                <a:pt x="1703108" y="227571"/>
              </a:lnTo>
              <a:lnTo>
                <a:pt x="1707853" y="226514"/>
              </a:lnTo>
              <a:lnTo>
                <a:pt x="1712268" y="225622"/>
              </a:lnTo>
              <a:lnTo>
                <a:pt x="1716684" y="224730"/>
              </a:lnTo>
              <a:lnTo>
                <a:pt x="1719822" y="223880"/>
              </a:lnTo>
              <a:lnTo>
                <a:pt x="1723410" y="223170"/>
              </a:lnTo>
              <a:lnTo>
                <a:pt x="1726997" y="222459"/>
              </a:lnTo>
              <a:lnTo>
                <a:pt x="1729609" y="221857"/>
              </a:lnTo>
              <a:lnTo>
                <a:pt x="1733793" y="221358"/>
              </a:lnTo>
              <a:lnTo>
                <a:pt x="1737978" y="220859"/>
              </a:lnTo>
              <a:lnTo>
                <a:pt x="1742854" y="220484"/>
              </a:lnTo>
              <a:lnTo>
                <a:pt x="1748516" y="220175"/>
              </a:lnTo>
              <a:lnTo>
                <a:pt x="1754179" y="219867"/>
              </a:lnTo>
              <a:lnTo>
                <a:pt x="1794116" y="219211"/>
              </a:lnTo>
              <a:lnTo>
                <a:pt x="1827637" y="219150"/>
              </a:lnTo>
              <a:lnTo>
                <a:pt x="1837307" y="219157"/>
              </a:lnTo>
              <a:lnTo>
                <a:pt x="1879632" y="219244"/>
              </a:lnTo>
              <a:lnTo>
                <a:pt x="1901975" y="219306"/>
              </a:lnTo>
              <a:lnTo>
                <a:pt x="1913200" y="219338"/>
              </a:lnTo>
              <a:lnTo>
                <a:pt x="1924470" y="219370"/>
              </a:lnTo>
              <a:lnTo>
                <a:pt x="1935825" y="219402"/>
              </a:lnTo>
              <a:lnTo>
                <a:pt x="1947119" y="219434"/>
              </a:lnTo>
              <a:lnTo>
                <a:pt x="1990517" y="219547"/>
              </a:lnTo>
              <a:lnTo>
                <a:pt x="2000718" y="219572"/>
              </a:lnTo>
              <a:lnTo>
                <a:pt x="2010576" y="219557"/>
              </a:lnTo>
              <a:lnTo>
                <a:pt x="2020140" y="219514"/>
              </a:lnTo>
              <a:lnTo>
                <a:pt x="2029312" y="219521"/>
              </a:lnTo>
              <a:lnTo>
                <a:pt x="2067933" y="221325"/>
              </a:lnTo>
              <a:lnTo>
                <a:pt x="2084107" y="222801"/>
              </a:lnTo>
              <a:lnTo>
                <a:pt x="2090738" y="223510"/>
              </a:lnTo>
              <a:lnTo>
                <a:pt x="2097369" y="224218"/>
              </a:lnTo>
              <a:lnTo>
                <a:pt x="2103295" y="224957"/>
              </a:lnTo>
              <a:lnTo>
                <a:pt x="2107719" y="225579"/>
              </a:lnTo>
              <a:lnTo>
                <a:pt x="2112143" y="226200"/>
              </a:lnTo>
              <a:lnTo>
                <a:pt x="2116333" y="226497"/>
              </a:lnTo>
              <a:lnTo>
                <a:pt x="2117280" y="227238"/>
              </a:lnTo>
              <a:lnTo>
                <a:pt x="2118228" y="227981"/>
              </a:lnTo>
              <a:lnTo>
                <a:pt x="2117326" y="229086"/>
              </a:lnTo>
              <a:lnTo>
                <a:pt x="2113403" y="230031"/>
              </a:lnTo>
              <a:lnTo>
                <a:pt x="2109480" y="230978"/>
              </a:lnTo>
              <a:lnTo>
                <a:pt x="2102943" y="231759"/>
              </a:lnTo>
              <a:lnTo>
                <a:pt x="2093740" y="232916"/>
              </a:lnTo>
              <a:lnTo>
                <a:pt x="2086317" y="233813"/>
              </a:lnTo>
              <a:lnTo>
                <a:pt x="2077884" y="234778"/>
              </a:lnTo>
              <a:lnTo>
                <a:pt x="2068489" y="235827"/>
              </a:lnTo>
              <a:lnTo>
                <a:pt x="2058182" y="236977"/>
              </a:lnTo>
              <a:lnTo>
                <a:pt x="2046935" y="238231"/>
              </a:lnTo>
              <a:lnTo>
                <a:pt x="2034738" y="239581"/>
              </a:lnTo>
              <a:lnTo>
                <a:pt x="2021655" y="241024"/>
              </a:lnTo>
              <a:lnTo>
                <a:pt x="2007754" y="242554"/>
              </a:lnTo>
              <a:lnTo>
                <a:pt x="1993051" y="244217"/>
              </a:lnTo>
              <a:lnTo>
                <a:pt x="1943877" y="249563"/>
              </a:lnTo>
              <a:lnTo>
                <a:pt x="1886942" y="254454"/>
              </a:lnTo>
              <a:lnTo>
                <a:pt x="1844844" y="257801"/>
              </a:lnTo>
              <a:lnTo>
                <a:pt x="1799461" y="261264"/>
              </a:lnTo>
              <a:lnTo>
                <a:pt x="1750988" y="264451"/>
              </a:lnTo>
              <a:lnTo>
                <a:pt x="1699424" y="267365"/>
              </a:lnTo>
              <a:lnTo>
                <a:pt x="1645393" y="269894"/>
              </a:lnTo>
              <a:lnTo>
                <a:pt x="1588893" y="272038"/>
              </a:lnTo>
              <a:lnTo>
                <a:pt x="1531100" y="273807"/>
              </a:lnTo>
              <a:lnTo>
                <a:pt x="1472013" y="275201"/>
              </a:lnTo>
              <a:lnTo>
                <a:pt x="1412806" y="276290"/>
              </a:lnTo>
              <a:lnTo>
                <a:pt x="1353479" y="277073"/>
              </a:lnTo>
              <a:lnTo>
                <a:pt x="1295488" y="277636"/>
              </a:lnTo>
              <a:lnTo>
                <a:pt x="1238834" y="277980"/>
              </a:lnTo>
              <a:lnTo>
                <a:pt x="1184751" y="278185"/>
              </a:lnTo>
              <a:lnTo>
                <a:pt x="1133239" y="278251"/>
              </a:lnTo>
              <a:lnTo>
                <a:pt x="1109149" y="278255"/>
              </a:lnTo>
              <a:lnTo>
                <a:pt x="1086365" y="278242"/>
              </a:lnTo>
              <a:lnTo>
                <a:pt x="1044130" y="278158"/>
              </a:lnTo>
              <a:lnTo>
                <a:pt x="988503" y="277973"/>
              </a:lnTo>
              <a:lnTo>
                <a:pt x="942810" y="277750"/>
              </a:lnTo>
              <a:lnTo>
                <a:pt x="897245" y="277460"/>
              </a:lnTo>
              <a:lnTo>
                <a:pt x="855283" y="277137"/>
              </a:lnTo>
              <a:lnTo>
                <a:pt x="848488" y="277084"/>
              </a:lnTo>
              <a:lnTo>
                <a:pt x="841693" y="277031"/>
              </a:lnTo>
              <a:lnTo>
                <a:pt x="836858" y="276992"/>
              </a:lnTo>
              <a:lnTo>
                <a:pt x="831372" y="276959"/>
              </a:lnTo>
              <a:lnTo>
                <a:pt x="825886" y="276926"/>
              </a:lnTo>
              <a:lnTo>
                <a:pt x="821633" y="276904"/>
              </a:lnTo>
              <a:lnTo>
                <a:pt x="815573" y="276887"/>
              </a:lnTo>
              <a:lnTo>
                <a:pt x="809513" y="276869"/>
              </a:lnTo>
              <a:lnTo>
                <a:pt x="767465" y="276846"/>
              </a:lnTo>
              <a:lnTo>
                <a:pt x="759710" y="276885"/>
              </a:lnTo>
              <a:lnTo>
                <a:pt x="751596" y="276949"/>
              </a:lnTo>
              <a:lnTo>
                <a:pt x="743207" y="276964"/>
              </a:lnTo>
              <a:lnTo>
                <a:pt x="698233" y="275245"/>
              </a:lnTo>
              <a:lnTo>
                <a:pt x="671557" y="273643"/>
              </a:lnTo>
              <a:lnTo>
                <a:pt x="663014" y="273102"/>
              </a:lnTo>
              <a:lnTo>
                <a:pt x="654718" y="272613"/>
              </a:lnTo>
              <a:lnTo>
                <a:pt x="646622" y="272151"/>
              </a:lnTo>
              <a:lnTo>
                <a:pt x="638750" y="271653"/>
              </a:lnTo>
              <a:lnTo>
                <a:pt x="603084" y="267789"/>
              </a:lnTo>
              <a:lnTo>
                <a:pt x="594581" y="266691"/>
              </a:lnTo>
              <a:lnTo>
                <a:pt x="586965" y="265483"/>
              </a:lnTo>
              <a:lnTo>
                <a:pt x="580110" y="264465"/>
              </a:lnTo>
              <a:lnTo>
                <a:pt x="573255" y="263446"/>
              </a:lnTo>
              <a:lnTo>
                <a:pt x="567361" y="262752"/>
              </a:lnTo>
              <a:lnTo>
                <a:pt x="561955" y="261677"/>
              </a:lnTo>
              <a:lnTo>
                <a:pt x="556549" y="260601"/>
              </a:lnTo>
              <a:lnTo>
                <a:pt x="552248" y="259203"/>
              </a:lnTo>
              <a:lnTo>
                <a:pt x="547676" y="258012"/>
              </a:lnTo>
              <a:lnTo>
                <a:pt x="543103" y="256821"/>
              </a:lnTo>
              <a:lnTo>
                <a:pt x="538709" y="255847"/>
              </a:lnTo>
              <a:lnTo>
                <a:pt x="534519" y="254531"/>
              </a:lnTo>
              <a:lnTo>
                <a:pt x="530330" y="253214"/>
              </a:lnTo>
              <a:lnTo>
                <a:pt x="526636" y="251539"/>
              </a:lnTo>
              <a:lnTo>
                <a:pt x="522541" y="250114"/>
              </a:lnTo>
              <a:lnTo>
                <a:pt x="518445" y="248688"/>
              </a:lnTo>
              <a:lnTo>
                <a:pt x="514109" y="247217"/>
              </a:lnTo>
              <a:lnTo>
                <a:pt x="509946" y="245980"/>
              </a:lnTo>
              <a:lnTo>
                <a:pt x="505783" y="244742"/>
              </a:lnTo>
              <a:lnTo>
                <a:pt x="501592" y="243623"/>
              </a:lnTo>
              <a:lnTo>
                <a:pt x="497563" y="242689"/>
              </a:lnTo>
              <a:lnTo>
                <a:pt x="493533" y="241756"/>
              </a:lnTo>
              <a:lnTo>
                <a:pt x="489588" y="241003"/>
              </a:lnTo>
              <a:lnTo>
                <a:pt x="485770" y="240381"/>
              </a:lnTo>
              <a:lnTo>
                <a:pt x="481952" y="239759"/>
              </a:lnTo>
              <a:lnTo>
                <a:pt x="478260" y="239586"/>
              </a:lnTo>
              <a:lnTo>
                <a:pt x="474656" y="238955"/>
              </a:lnTo>
              <a:lnTo>
                <a:pt x="471053" y="238324"/>
              </a:lnTo>
              <a:lnTo>
                <a:pt x="467575" y="237392"/>
              </a:lnTo>
              <a:lnTo>
                <a:pt x="464151" y="236594"/>
              </a:lnTo>
              <a:lnTo>
                <a:pt x="460727" y="235795"/>
              </a:lnTo>
              <a:lnTo>
                <a:pt x="457407" y="235182"/>
              </a:lnTo>
              <a:lnTo>
                <a:pt x="454115" y="234166"/>
              </a:lnTo>
              <a:lnTo>
                <a:pt x="450823" y="233150"/>
              </a:lnTo>
              <a:lnTo>
                <a:pt x="447876" y="231719"/>
              </a:lnTo>
              <a:lnTo>
                <a:pt x="444398" y="230497"/>
              </a:lnTo>
              <a:lnTo>
                <a:pt x="440921" y="229275"/>
              </a:lnTo>
              <a:lnTo>
                <a:pt x="437311" y="227949"/>
              </a:lnTo>
              <a:lnTo>
                <a:pt x="433252" y="226831"/>
              </a:lnTo>
              <a:lnTo>
                <a:pt x="429193" y="225714"/>
              </a:lnTo>
              <a:lnTo>
                <a:pt x="424515" y="224666"/>
              </a:lnTo>
              <a:lnTo>
                <a:pt x="420044" y="223791"/>
              </a:lnTo>
              <a:lnTo>
                <a:pt x="415574" y="222915"/>
              </a:lnTo>
              <a:lnTo>
                <a:pt x="411157" y="222185"/>
              </a:lnTo>
              <a:lnTo>
                <a:pt x="406430" y="221580"/>
              </a:lnTo>
              <a:lnTo>
                <a:pt x="401704" y="220974"/>
              </a:lnTo>
              <a:lnTo>
                <a:pt x="375641" y="219375"/>
              </a:lnTo>
              <a:lnTo>
                <a:pt x="369828" y="219189"/>
              </a:lnTo>
              <a:lnTo>
                <a:pt x="363597" y="219106"/>
              </a:lnTo>
              <a:lnTo>
                <a:pt x="356811" y="219043"/>
              </a:lnTo>
              <a:lnTo>
                <a:pt x="350026" y="218979"/>
              </a:lnTo>
              <a:lnTo>
                <a:pt x="342667" y="218985"/>
              </a:lnTo>
              <a:lnTo>
                <a:pt x="334928" y="218993"/>
              </a:lnTo>
              <a:lnTo>
                <a:pt x="327188" y="219002"/>
              </a:lnTo>
              <a:lnTo>
                <a:pt x="318897" y="219050"/>
              </a:lnTo>
              <a:lnTo>
                <a:pt x="310375" y="219093"/>
              </a:lnTo>
              <a:lnTo>
                <a:pt x="303905" y="219128"/>
              </a:lnTo>
              <a:lnTo>
                <a:pt x="297299" y="219168"/>
              </a:lnTo>
              <a:lnTo>
                <a:pt x="290586" y="219209"/>
              </a:lnTo>
              <a:lnTo>
                <a:pt x="283800" y="219250"/>
              </a:lnTo>
              <a:lnTo>
                <a:pt x="276969" y="219291"/>
              </a:lnTo>
              <a:lnTo>
                <a:pt x="270069" y="219332"/>
              </a:lnTo>
              <a:lnTo>
                <a:pt x="263052" y="219372"/>
              </a:lnTo>
              <a:lnTo>
                <a:pt x="217216" y="219571"/>
              </a:lnTo>
              <a:lnTo>
                <a:pt x="173370" y="219677"/>
              </a:lnTo>
              <a:lnTo>
                <a:pt x="128011" y="219733"/>
              </a:lnTo>
              <a:lnTo>
                <a:pt x="118913" y="219740"/>
              </a:lnTo>
              <a:lnTo>
                <a:pt x="109856" y="219708"/>
              </a:lnTo>
              <a:lnTo>
                <a:pt x="100815" y="219649"/>
              </a:lnTo>
              <a:lnTo>
                <a:pt x="91904" y="219639"/>
              </a:lnTo>
              <a:lnTo>
                <a:pt x="50808" y="221378"/>
              </a:lnTo>
              <a:lnTo>
                <a:pt x="16427" y="224229"/>
              </a:lnTo>
              <a:lnTo>
                <a:pt x="9871" y="224691"/>
              </a:lnTo>
              <a:lnTo>
                <a:pt x="0" y="230216"/>
              </a:lnTo>
              <a:lnTo>
                <a:pt x="1617" y="232144"/>
              </a:lnTo>
              <a:lnTo>
                <a:pt x="23790" y="242833"/>
              </a:lnTo>
              <a:lnTo>
                <a:pt x="27818" y="244013"/>
              </a:lnTo>
              <a:lnTo>
                <a:pt x="32209" y="244999"/>
              </a:lnTo>
              <a:lnTo>
                <a:pt x="36425" y="245815"/>
              </a:lnTo>
              <a:lnTo>
                <a:pt x="40640" y="246631"/>
              </a:lnTo>
              <a:lnTo>
                <a:pt x="44949" y="246965"/>
              </a:lnTo>
              <a:lnTo>
                <a:pt x="49082" y="247731"/>
              </a:lnTo>
              <a:lnTo>
                <a:pt x="53214" y="248497"/>
              </a:lnTo>
              <a:lnTo>
                <a:pt x="57290" y="249528"/>
              </a:lnTo>
              <a:lnTo>
                <a:pt x="61218" y="250408"/>
              </a:lnTo>
              <a:lnTo>
                <a:pt x="65147" y="251289"/>
              </a:lnTo>
              <a:lnTo>
                <a:pt x="68954" y="252224"/>
              </a:lnTo>
              <a:lnTo>
                <a:pt x="72653" y="253011"/>
              </a:lnTo>
              <a:lnTo>
                <a:pt x="76352" y="253800"/>
              </a:lnTo>
              <a:lnTo>
                <a:pt x="80188" y="254257"/>
              </a:lnTo>
              <a:lnTo>
                <a:pt x="83413" y="255134"/>
              </a:lnTo>
              <a:lnTo>
                <a:pt x="86639" y="256013"/>
              </a:lnTo>
              <a:lnTo>
                <a:pt x="89567" y="256964"/>
              </a:lnTo>
              <a:lnTo>
                <a:pt x="92007" y="258278"/>
              </a:lnTo>
              <a:lnTo>
                <a:pt x="94448" y="259591"/>
              </a:lnTo>
              <a:lnTo>
                <a:pt x="110946" y="298260"/>
              </a:lnTo>
              <a:lnTo>
                <a:pt x="117822" y="341595"/>
              </a:lnTo>
              <a:lnTo>
                <a:pt x="120728" y="386753"/>
              </a:lnTo>
              <a:lnTo>
                <a:pt x="121930" y="431420"/>
              </a:lnTo>
              <a:lnTo>
                <a:pt x="122356" y="470106"/>
              </a:lnTo>
              <a:lnTo>
                <a:pt x="122509" y="513680"/>
              </a:lnTo>
              <a:lnTo>
                <a:pt x="122519" y="528977"/>
              </a:lnTo>
              <a:lnTo>
                <a:pt x="122513" y="544605"/>
              </a:lnTo>
              <a:lnTo>
                <a:pt x="122408" y="593323"/>
              </a:lnTo>
              <a:lnTo>
                <a:pt x="122240" y="643648"/>
              </a:lnTo>
              <a:lnTo>
                <a:pt x="122179" y="660808"/>
              </a:lnTo>
              <a:lnTo>
                <a:pt x="122117" y="678246"/>
              </a:lnTo>
              <a:lnTo>
                <a:pt x="122053" y="695935"/>
              </a:lnTo>
              <a:lnTo>
                <a:pt x="121990" y="713696"/>
              </a:lnTo>
              <a:lnTo>
                <a:pt x="121815" y="766252"/>
              </a:lnTo>
              <a:lnTo>
                <a:pt x="121666" y="818737"/>
              </a:lnTo>
              <a:lnTo>
                <a:pt x="121548" y="871673"/>
              </a:lnTo>
              <a:lnTo>
                <a:pt x="121478" y="889232"/>
              </a:lnTo>
              <a:lnTo>
                <a:pt x="121386" y="906754"/>
              </a:lnTo>
              <a:lnTo>
                <a:pt x="121348" y="924295"/>
              </a:lnTo>
              <a:lnTo>
                <a:pt x="121439" y="941909"/>
              </a:lnTo>
              <a:lnTo>
                <a:pt x="121697" y="959595"/>
              </a:lnTo>
              <a:lnTo>
                <a:pt x="122078" y="977328"/>
              </a:lnTo>
              <a:lnTo>
                <a:pt x="122527" y="995131"/>
              </a:lnTo>
              <a:lnTo>
                <a:pt x="122996" y="1013021"/>
              </a:lnTo>
              <a:lnTo>
                <a:pt x="123451" y="1031004"/>
              </a:lnTo>
              <a:lnTo>
                <a:pt x="125121" y="1085443"/>
              </a:lnTo>
              <a:lnTo>
                <a:pt x="127827" y="1140859"/>
              </a:lnTo>
              <a:lnTo>
                <a:pt x="128791" y="1159169"/>
              </a:lnTo>
              <a:lnTo>
                <a:pt x="129748" y="1177333"/>
              </a:lnTo>
              <a:lnTo>
                <a:pt x="130726" y="1195408"/>
              </a:lnTo>
              <a:lnTo>
                <a:pt x="131691" y="1213255"/>
              </a:lnTo>
              <a:lnTo>
                <a:pt x="132608" y="1230734"/>
              </a:lnTo>
              <a:lnTo>
                <a:pt x="133441" y="1247797"/>
              </a:lnTo>
              <a:lnTo>
                <a:pt x="134217" y="1264524"/>
              </a:lnTo>
              <a:lnTo>
                <a:pt x="134999" y="1280959"/>
              </a:lnTo>
              <a:lnTo>
                <a:pt x="135851" y="1297152"/>
              </a:lnTo>
              <a:lnTo>
                <a:pt x="136809" y="1313157"/>
              </a:lnTo>
              <a:lnTo>
                <a:pt x="137833" y="1328935"/>
              </a:lnTo>
              <a:lnTo>
                <a:pt x="138872" y="1344390"/>
              </a:lnTo>
              <a:lnTo>
                <a:pt x="139876" y="1359427"/>
              </a:lnTo>
              <a:lnTo>
                <a:pt x="140847" y="1374029"/>
              </a:lnTo>
              <a:lnTo>
                <a:pt x="141809" y="1388245"/>
              </a:lnTo>
              <a:lnTo>
                <a:pt x="142736" y="1402075"/>
              </a:lnTo>
              <a:lnTo>
                <a:pt x="143607" y="1415522"/>
              </a:lnTo>
              <a:lnTo>
                <a:pt x="144383" y="1428637"/>
              </a:lnTo>
              <a:lnTo>
                <a:pt x="145086" y="1441402"/>
              </a:lnTo>
              <a:lnTo>
                <a:pt x="145787" y="1453715"/>
              </a:lnTo>
              <a:lnTo>
                <a:pt x="149318" y="1497451"/>
              </a:lnTo>
              <a:lnTo>
                <a:pt x="150237" y="1507100"/>
              </a:lnTo>
              <a:lnTo>
                <a:pt x="151089" y="1516297"/>
              </a:lnTo>
              <a:lnTo>
                <a:pt x="151906" y="1525021"/>
              </a:lnTo>
              <a:lnTo>
                <a:pt x="152743" y="1533192"/>
              </a:lnTo>
              <a:lnTo>
                <a:pt x="153655" y="1540728"/>
              </a:lnTo>
              <a:lnTo>
                <a:pt x="154946" y="1550318"/>
              </a:lnTo>
              <a:lnTo>
                <a:pt x="156047" y="1558966"/>
              </a:lnTo>
              <a:lnTo>
                <a:pt x="168010" y="1575899"/>
              </a:lnTo>
              <a:lnTo>
                <a:pt x="171204" y="1575457"/>
              </a:lnTo>
              <a:lnTo>
                <a:pt x="190487" y="1533158"/>
              </a:lnTo>
              <a:lnTo>
                <a:pt x="203070" y="1486311"/>
              </a:lnTo>
              <a:lnTo>
                <a:pt x="212561" y="1440945"/>
              </a:lnTo>
              <a:lnTo>
                <a:pt x="221911" y="1386406"/>
              </a:lnTo>
              <a:lnTo>
                <a:pt x="228485" y="1345031"/>
              </a:lnTo>
              <a:lnTo>
                <a:pt x="235364" y="1300142"/>
              </a:lnTo>
              <a:lnTo>
                <a:pt x="242636" y="1251974"/>
              </a:lnTo>
              <a:lnTo>
                <a:pt x="246407" y="1226836"/>
              </a:lnTo>
              <a:lnTo>
                <a:pt x="250268" y="1201325"/>
              </a:lnTo>
              <a:lnTo>
                <a:pt x="254186" y="1175389"/>
              </a:lnTo>
              <a:lnTo>
                <a:pt x="258172" y="1148937"/>
              </a:lnTo>
              <a:lnTo>
                <a:pt x="262290" y="1122149"/>
              </a:lnTo>
              <a:lnTo>
                <a:pt x="271160" y="1068008"/>
              </a:lnTo>
              <a:lnTo>
                <a:pt x="280796" y="1012964"/>
              </a:lnTo>
              <a:lnTo>
                <a:pt x="290768" y="958580"/>
              </a:lnTo>
              <a:lnTo>
                <a:pt x="301076" y="904853"/>
              </a:lnTo>
              <a:lnTo>
                <a:pt x="311487" y="852226"/>
              </a:lnTo>
              <a:lnTo>
                <a:pt x="321999" y="800698"/>
              </a:lnTo>
              <a:lnTo>
                <a:pt x="332518" y="752227"/>
              </a:lnTo>
              <a:lnTo>
                <a:pt x="343043" y="706811"/>
              </a:lnTo>
              <a:lnTo>
                <a:pt x="353081" y="664606"/>
              </a:lnTo>
              <a:lnTo>
                <a:pt x="362633" y="625613"/>
              </a:lnTo>
              <a:lnTo>
                <a:pt x="367015" y="607818"/>
              </a:lnTo>
              <a:lnTo>
                <a:pt x="371054" y="591288"/>
              </a:lnTo>
              <a:lnTo>
                <a:pt x="381709" y="548444"/>
              </a:lnTo>
              <a:lnTo>
                <a:pt x="393425" y="506617"/>
              </a:lnTo>
              <a:lnTo>
                <a:pt x="403882" y="491989"/>
              </a:lnTo>
              <a:lnTo>
                <a:pt x="405463" y="496667"/>
              </a:lnTo>
              <a:lnTo>
                <a:pt x="409038" y="537135"/>
              </a:lnTo>
              <a:lnTo>
                <a:pt x="409562" y="566081"/>
              </a:lnTo>
              <a:lnTo>
                <a:pt x="409502" y="583024"/>
              </a:lnTo>
              <a:lnTo>
                <a:pt x="408782" y="622000"/>
              </a:lnTo>
              <a:lnTo>
                <a:pt x="407244" y="668191"/>
              </a:lnTo>
              <a:lnTo>
                <a:pt x="404991" y="720435"/>
              </a:lnTo>
              <a:lnTo>
                <a:pt x="402193" y="777910"/>
              </a:lnTo>
              <a:lnTo>
                <a:pt x="398645" y="840057"/>
              </a:lnTo>
              <a:lnTo>
                <a:pt x="393970" y="906162"/>
              </a:lnTo>
              <a:lnTo>
                <a:pt x="391389" y="940646"/>
              </a:lnTo>
              <a:lnTo>
                <a:pt x="388857" y="975858"/>
              </a:lnTo>
              <a:lnTo>
                <a:pt x="386438" y="1012013"/>
              </a:lnTo>
              <a:lnTo>
                <a:pt x="384039" y="1049115"/>
              </a:lnTo>
              <a:lnTo>
                <a:pt x="381588" y="1086675"/>
              </a:lnTo>
              <a:lnTo>
                <a:pt x="376277" y="1161789"/>
              </a:lnTo>
              <a:lnTo>
                <a:pt x="370504" y="1237357"/>
              </a:lnTo>
              <a:lnTo>
                <a:pt x="364624" y="1311625"/>
              </a:lnTo>
              <a:lnTo>
                <a:pt x="358637" y="1384595"/>
              </a:lnTo>
              <a:lnTo>
                <a:pt x="352700" y="1454877"/>
              </a:lnTo>
              <a:lnTo>
                <a:pt x="346813" y="1522471"/>
              </a:lnTo>
              <a:lnTo>
                <a:pt x="341046" y="1584850"/>
              </a:lnTo>
              <a:lnTo>
                <a:pt x="335399" y="1642012"/>
              </a:lnTo>
              <a:lnTo>
                <a:pt x="329850" y="1693403"/>
              </a:lnTo>
              <a:lnTo>
                <a:pt x="324397" y="1739023"/>
              </a:lnTo>
              <a:lnTo>
                <a:pt x="319494" y="1778475"/>
              </a:lnTo>
              <a:lnTo>
                <a:pt x="313201" y="1825101"/>
              </a:lnTo>
              <a:lnTo>
                <a:pt x="305660" y="1859759"/>
              </a:lnTo>
              <a:lnTo>
                <a:pt x="305184" y="1857305"/>
              </a:lnTo>
              <a:lnTo>
                <a:pt x="304834" y="1850288"/>
              </a:lnTo>
              <a:lnTo>
                <a:pt x="304634" y="1843979"/>
              </a:lnTo>
              <a:lnTo>
                <a:pt x="304574" y="1835658"/>
              </a:lnTo>
              <a:lnTo>
                <a:pt x="304674" y="1825446"/>
              </a:lnTo>
              <a:lnTo>
                <a:pt x="305967" y="1783806"/>
              </a:lnTo>
              <a:lnTo>
                <a:pt x="309213" y="1727639"/>
              </a:lnTo>
              <a:lnTo>
                <a:pt x="312727" y="1683282"/>
              </a:lnTo>
              <a:lnTo>
                <a:pt x="317323" y="1633713"/>
              </a:lnTo>
              <a:lnTo>
                <a:pt x="323003" y="1578930"/>
              </a:lnTo>
              <a:lnTo>
                <a:pt x="326010" y="1550034"/>
              </a:lnTo>
              <a:lnTo>
                <a:pt x="329109" y="1520009"/>
              </a:lnTo>
              <a:lnTo>
                <a:pt x="332341" y="1488827"/>
              </a:lnTo>
              <a:lnTo>
                <a:pt x="335640" y="1456949"/>
              </a:lnTo>
              <a:lnTo>
                <a:pt x="338935" y="1424839"/>
              </a:lnTo>
              <a:lnTo>
                <a:pt x="342272" y="1392357"/>
              </a:lnTo>
              <a:lnTo>
                <a:pt x="345667" y="1359345"/>
              </a:lnTo>
              <a:lnTo>
                <a:pt x="349006" y="1326234"/>
              </a:lnTo>
              <a:lnTo>
                <a:pt x="355179" y="1260991"/>
              </a:lnTo>
              <a:lnTo>
                <a:pt x="360793" y="1196628"/>
              </a:lnTo>
              <a:lnTo>
                <a:pt x="365649" y="1133937"/>
              </a:lnTo>
              <a:lnTo>
                <a:pt x="369749" y="1072917"/>
              </a:lnTo>
              <a:lnTo>
                <a:pt x="373121" y="1016121"/>
              </a:lnTo>
              <a:lnTo>
                <a:pt x="375767" y="963551"/>
              </a:lnTo>
              <a:lnTo>
                <a:pt x="377824" y="914904"/>
              </a:lnTo>
              <a:lnTo>
                <a:pt x="379293" y="870180"/>
              </a:lnTo>
              <a:lnTo>
                <a:pt x="380343" y="830890"/>
              </a:lnTo>
              <a:lnTo>
                <a:pt x="381189" y="782494"/>
              </a:lnTo>
              <a:lnTo>
                <a:pt x="381455" y="769392"/>
              </a:lnTo>
              <a:lnTo>
                <a:pt x="381723" y="757717"/>
              </a:lnTo>
              <a:lnTo>
                <a:pt x="381787" y="747966"/>
              </a:lnTo>
              <a:lnTo>
                <a:pt x="381444" y="740633"/>
              </a:lnTo>
              <a:lnTo>
                <a:pt x="380622" y="732690"/>
              </a:lnTo>
              <a:lnTo>
                <a:pt x="379645" y="730626"/>
              </a:lnTo>
              <a:lnTo>
                <a:pt x="376260" y="734832"/>
              </a:lnTo>
              <a:lnTo>
                <a:pt x="356197" y="778619"/>
              </a:lnTo>
              <a:lnTo>
                <a:pt x="338748" y="827867"/>
              </a:lnTo>
              <a:lnTo>
                <a:pt x="325092" y="868272"/>
              </a:lnTo>
              <a:lnTo>
                <a:pt x="310053" y="914248"/>
              </a:lnTo>
              <a:lnTo>
                <a:pt x="293720" y="965557"/>
              </a:lnTo>
              <a:lnTo>
                <a:pt x="276598" y="1020817"/>
              </a:lnTo>
              <a:lnTo>
                <a:pt x="259171" y="1078879"/>
              </a:lnTo>
              <a:lnTo>
                <a:pt x="241589" y="1138803"/>
              </a:lnTo>
              <a:lnTo>
                <a:pt x="224247" y="1199586"/>
              </a:lnTo>
              <a:lnTo>
                <a:pt x="215588" y="1230120"/>
              </a:lnTo>
              <a:lnTo>
                <a:pt x="206891" y="1260261"/>
              </a:lnTo>
              <a:lnTo>
                <a:pt x="198005" y="1290136"/>
              </a:lnTo>
              <a:lnTo>
                <a:pt x="188995" y="1319867"/>
              </a:lnTo>
              <a:lnTo>
                <a:pt x="180152" y="1349076"/>
              </a:lnTo>
              <a:lnTo>
                <a:pt x="163871" y="1404897"/>
              </a:lnTo>
              <a:lnTo>
                <a:pt x="149164" y="1457599"/>
              </a:lnTo>
              <a:lnTo>
                <a:pt x="136049" y="1505401"/>
              </a:lnTo>
              <a:lnTo>
                <a:pt x="124528" y="1548304"/>
              </a:lnTo>
              <a:lnTo>
                <a:pt x="119277" y="1567798"/>
              </a:lnTo>
              <a:lnTo>
                <a:pt x="105484" y="1618477"/>
              </a:lnTo>
              <a:lnTo>
                <a:pt x="94645" y="1656510"/>
              </a:lnTo>
              <a:lnTo>
                <a:pt x="91803" y="1666239"/>
              </a:lnTo>
              <a:lnTo>
                <a:pt x="89633" y="1674241"/>
              </a:lnTo>
              <a:lnTo>
                <a:pt x="87272" y="1683684"/>
              </a:lnTo>
              <a:lnTo>
                <a:pt x="86748" y="1689299"/>
              </a:lnTo>
              <a:lnTo>
                <a:pt x="87430" y="1689206"/>
              </a:lnTo>
              <a:lnTo>
                <a:pt x="88111" y="1689113"/>
              </a:lnTo>
              <a:lnTo>
                <a:pt x="101549" y="1647181"/>
              </a:lnTo>
              <a:lnTo>
                <a:pt x="104812" y="1635839"/>
              </a:lnTo>
              <a:lnTo>
                <a:pt x="116816" y="1594333"/>
              </a:lnTo>
              <a:lnTo>
                <a:pt x="130587" y="1545034"/>
              </a:lnTo>
              <a:lnTo>
                <a:pt x="135572" y="1527088"/>
              </a:lnTo>
              <a:lnTo>
                <a:pt x="140876" y="1508631"/>
              </a:lnTo>
              <a:lnTo>
                <a:pt x="146627" y="1489460"/>
              </a:lnTo>
              <a:lnTo>
                <a:pt x="152748" y="1469564"/>
              </a:lnTo>
              <a:lnTo>
                <a:pt x="159012" y="1449408"/>
              </a:lnTo>
              <a:lnTo>
                <a:pt x="165190" y="1429456"/>
              </a:lnTo>
              <a:lnTo>
                <a:pt x="171263" y="1409675"/>
              </a:lnTo>
              <a:lnTo>
                <a:pt x="177339" y="1389868"/>
              </a:lnTo>
              <a:lnTo>
                <a:pt x="183380" y="1370261"/>
              </a:lnTo>
              <a:lnTo>
                <a:pt x="195286" y="1332218"/>
              </a:lnTo>
              <a:lnTo>
                <a:pt x="206982" y="1295546"/>
              </a:lnTo>
              <a:lnTo>
                <a:pt x="223155" y="1246259"/>
              </a:lnTo>
              <a:lnTo>
                <a:pt x="237615" y="1204520"/>
              </a:lnTo>
              <a:lnTo>
                <a:pt x="253738" y="1162540"/>
              </a:lnTo>
              <a:lnTo>
                <a:pt x="268858" y="1138183"/>
              </a:lnTo>
              <a:lnTo>
                <a:pt x="270993" y="1142873"/>
              </a:lnTo>
              <a:lnTo>
                <a:pt x="276284" y="1183236"/>
              </a:lnTo>
              <a:lnTo>
                <a:pt x="277173" y="1210942"/>
              </a:lnTo>
              <a:lnTo>
                <a:pt x="277616" y="1226966"/>
              </a:lnTo>
              <a:lnTo>
                <a:pt x="278088" y="1244494"/>
              </a:lnTo>
              <a:lnTo>
                <a:pt x="278539" y="1263554"/>
              </a:lnTo>
              <a:lnTo>
                <a:pt x="279030" y="1283890"/>
              </a:lnTo>
              <a:lnTo>
                <a:pt x="280310" y="1327720"/>
              </a:lnTo>
              <a:lnTo>
                <a:pt x="281928" y="1375985"/>
              </a:lnTo>
              <a:lnTo>
                <a:pt x="283983" y="1427262"/>
              </a:lnTo>
              <a:lnTo>
                <a:pt x="286475" y="1481551"/>
              </a:lnTo>
              <a:lnTo>
                <a:pt x="289341" y="1537187"/>
              </a:lnTo>
              <a:lnTo>
                <a:pt x="292580" y="1594171"/>
              </a:lnTo>
              <a:lnTo>
                <a:pt x="296580" y="1651110"/>
              </a:lnTo>
              <a:lnTo>
                <a:pt x="301339" y="1708005"/>
              </a:lnTo>
              <a:lnTo>
                <a:pt x="306922" y="1762916"/>
              </a:lnTo>
              <a:lnTo>
                <a:pt x="313329" y="1815841"/>
              </a:lnTo>
              <a:lnTo>
                <a:pt x="319971" y="1864414"/>
              </a:lnTo>
              <a:lnTo>
                <a:pt x="326847" y="1908635"/>
              </a:lnTo>
              <a:lnTo>
                <a:pt x="333699" y="1947250"/>
              </a:lnTo>
              <a:lnTo>
                <a:pt x="343718" y="1994837"/>
              </a:lnTo>
              <a:lnTo>
                <a:pt x="354788" y="2040431"/>
              </a:lnTo>
              <a:lnTo>
                <a:pt x="371359" y="2078869"/>
              </a:lnTo>
              <a:lnTo>
                <a:pt x="378451" y="2081627"/>
              </a:lnTo>
              <a:lnTo>
                <a:pt x="382101" y="2080188"/>
              </a:lnTo>
              <a:lnTo>
                <a:pt x="385680" y="2076274"/>
              </a:lnTo>
              <a:lnTo>
                <a:pt x="389260" y="2072361"/>
              </a:lnTo>
              <a:lnTo>
                <a:pt x="404258" y="2032730"/>
              </a:lnTo>
              <a:lnTo>
                <a:pt x="414632" y="1989172"/>
              </a:lnTo>
              <a:lnTo>
                <a:pt x="421364" y="1950215"/>
              </a:lnTo>
              <a:lnTo>
                <a:pt x="427350" y="1907649"/>
              </a:lnTo>
              <a:lnTo>
                <a:pt x="432954" y="1863032"/>
              </a:lnTo>
              <a:lnTo>
                <a:pt x="437574" y="1819139"/>
              </a:lnTo>
              <a:lnTo>
                <a:pt x="441156" y="1778929"/>
              </a:lnTo>
              <a:lnTo>
                <a:pt x="444410" y="1732072"/>
              </a:lnTo>
              <a:lnTo>
                <a:pt x="444978" y="1721870"/>
              </a:lnTo>
              <a:lnTo>
                <a:pt x="445475" y="1713065"/>
              </a:lnTo>
              <a:lnTo>
                <a:pt x="446098" y="1702476"/>
              </a:lnTo>
              <a:lnTo>
                <a:pt x="447259" y="1694021"/>
              </a:lnTo>
              <a:lnTo>
                <a:pt x="446729" y="1691129"/>
              </a:lnTo>
              <a:lnTo>
                <a:pt x="446199" y="1688238"/>
              </a:lnTo>
              <a:lnTo>
                <a:pt x="444931" y="1689405"/>
              </a:lnTo>
              <a:lnTo>
                <a:pt x="442293" y="1695713"/>
              </a:lnTo>
              <a:lnTo>
                <a:pt x="440122" y="1701467"/>
              </a:lnTo>
              <a:lnTo>
                <a:pt x="437534" y="1709098"/>
              </a:lnTo>
              <a:lnTo>
                <a:pt x="434478" y="1718353"/>
              </a:lnTo>
              <a:lnTo>
                <a:pt x="430903" y="1728977"/>
              </a:lnTo>
              <a:lnTo>
                <a:pt x="426820" y="1741084"/>
              </a:lnTo>
              <a:lnTo>
                <a:pt x="422249" y="1754750"/>
              </a:lnTo>
              <a:lnTo>
                <a:pt x="417151" y="1769662"/>
              </a:lnTo>
              <a:lnTo>
                <a:pt x="398205" y="1820585"/>
              </a:lnTo>
              <a:lnTo>
                <a:pt x="383260" y="1858641"/>
              </a:lnTo>
              <a:lnTo>
                <a:pt x="367286" y="1898483"/>
              </a:lnTo>
              <a:lnTo>
                <a:pt x="350560" y="1938983"/>
              </a:lnTo>
              <a:lnTo>
                <a:pt x="333322" y="1978891"/>
              </a:lnTo>
              <a:lnTo>
                <a:pt x="316321" y="2017373"/>
              </a:lnTo>
              <a:lnTo>
                <a:pt x="308252" y="2035621"/>
              </a:lnTo>
              <a:lnTo>
                <a:pt x="285512" y="2086320"/>
              </a:lnTo>
              <a:lnTo>
                <a:pt x="265673" y="2128771"/>
              </a:lnTo>
              <a:lnTo>
                <a:pt x="246570" y="2167266"/>
              </a:lnTo>
              <a:lnTo>
                <a:pt x="236568" y="2180962"/>
              </a:lnTo>
              <a:lnTo>
                <a:pt x="235112" y="2179742"/>
              </a:lnTo>
              <a:lnTo>
                <a:pt x="233656" y="2178521"/>
              </a:lnTo>
              <a:lnTo>
                <a:pt x="233488" y="2174182"/>
              </a:lnTo>
              <a:lnTo>
                <a:pt x="234438" y="2165773"/>
              </a:lnTo>
              <a:lnTo>
                <a:pt x="243058" y="2117472"/>
              </a:lnTo>
              <a:lnTo>
                <a:pt x="251254" y="2076415"/>
              </a:lnTo>
              <a:lnTo>
                <a:pt x="261555" y="2029276"/>
              </a:lnTo>
              <a:lnTo>
                <a:pt x="272725" y="1979927"/>
              </a:lnTo>
              <a:lnTo>
                <a:pt x="276515" y="1963295"/>
              </a:lnTo>
              <a:lnTo>
                <a:pt x="286806" y="1915104"/>
              </a:lnTo>
              <a:lnTo>
                <a:pt x="296030" y="1869558"/>
              </a:lnTo>
              <a:lnTo>
                <a:pt x="304335" y="1827710"/>
              </a:lnTo>
              <a:lnTo>
                <a:pt x="308874" y="1803330"/>
              </a:lnTo>
              <a:lnTo>
                <a:pt x="310925" y="1792221"/>
              </a:lnTo>
              <a:lnTo>
                <a:pt x="312924" y="1781977"/>
              </a:lnTo>
              <a:lnTo>
                <a:pt x="314975" y="1772488"/>
              </a:lnTo>
              <a:lnTo>
                <a:pt x="317013" y="1763744"/>
              </a:lnTo>
              <a:lnTo>
                <a:pt x="318853" y="1755996"/>
              </a:lnTo>
              <a:lnTo>
                <a:pt x="320315" y="1749497"/>
              </a:lnTo>
              <a:lnTo>
                <a:pt x="321929" y="1741775"/>
              </a:lnTo>
              <a:lnTo>
                <a:pt x="322604" y="1737507"/>
              </a:lnTo>
              <a:lnTo>
                <a:pt x="322608" y="1735645"/>
              </a:lnTo>
              <a:lnTo>
                <a:pt x="322613" y="1733783"/>
              </a:lnTo>
              <a:lnTo>
                <a:pt x="308041" y="1770021"/>
              </a:lnTo>
              <a:lnTo>
                <a:pt x="293800" y="1811134"/>
              </a:lnTo>
              <a:lnTo>
                <a:pt x="283101" y="1845424"/>
              </a:lnTo>
              <a:lnTo>
                <a:pt x="280602" y="1853617"/>
              </a:lnTo>
              <a:lnTo>
                <a:pt x="278074" y="1861777"/>
              </a:lnTo>
              <a:lnTo>
                <a:pt x="275551" y="1869882"/>
              </a:lnTo>
              <a:lnTo>
                <a:pt x="273167" y="1877532"/>
              </a:lnTo>
              <a:lnTo>
                <a:pt x="271055" y="1884323"/>
              </a:lnTo>
              <a:lnTo>
                <a:pt x="268479" y="1892628"/>
              </a:lnTo>
              <a:lnTo>
                <a:pt x="266647" y="1899659"/>
              </a:lnTo>
              <a:lnTo>
                <a:pt x="265149" y="1903446"/>
              </a:lnTo>
              <a:lnTo>
                <a:pt x="263652" y="1907233"/>
              </a:lnTo>
              <a:lnTo>
                <a:pt x="262773" y="1908591"/>
              </a:lnTo>
              <a:lnTo>
                <a:pt x="262069" y="1907044"/>
              </a:lnTo>
              <a:lnTo>
                <a:pt x="261365" y="1905499"/>
              </a:lnTo>
              <a:lnTo>
                <a:pt x="261112" y="1901629"/>
              </a:lnTo>
              <a:lnTo>
                <a:pt x="260925" y="1894170"/>
              </a:lnTo>
              <a:lnTo>
                <a:pt x="260796" y="1887897"/>
              </a:lnTo>
              <a:lnTo>
                <a:pt x="260724" y="1880380"/>
              </a:lnTo>
              <a:lnTo>
                <a:pt x="260756" y="1871787"/>
              </a:lnTo>
              <a:lnTo>
                <a:pt x="262504" y="1827713"/>
              </a:lnTo>
              <a:lnTo>
                <a:pt x="264594" y="1787886"/>
              </a:lnTo>
              <a:lnTo>
                <a:pt x="265358" y="1773808"/>
              </a:lnTo>
              <a:lnTo>
                <a:pt x="266100" y="1759900"/>
              </a:lnTo>
              <a:lnTo>
                <a:pt x="268243" y="1718709"/>
              </a:lnTo>
              <a:lnTo>
                <a:pt x="270105" y="1679796"/>
              </a:lnTo>
              <a:lnTo>
                <a:pt x="272036" y="1633235"/>
              </a:lnTo>
              <a:lnTo>
                <a:pt x="272757" y="1613505"/>
              </a:lnTo>
              <a:lnTo>
                <a:pt x="273174" y="1605005"/>
              </a:lnTo>
              <a:lnTo>
                <a:pt x="273628" y="1597277"/>
              </a:lnTo>
              <a:lnTo>
                <a:pt x="273896" y="1590666"/>
              </a:lnTo>
              <a:lnTo>
                <a:pt x="273757" y="1585520"/>
              </a:lnTo>
              <a:lnTo>
                <a:pt x="273201" y="1579788"/>
              </a:lnTo>
              <a:lnTo>
                <a:pt x="272270" y="1577378"/>
              </a:lnTo>
              <a:lnTo>
                <a:pt x="269424" y="1579112"/>
              </a:lnTo>
              <a:lnTo>
                <a:pt x="266578" y="1580845"/>
              </a:lnTo>
              <a:lnTo>
                <a:pt x="241428" y="1621835"/>
              </a:lnTo>
              <a:lnTo>
                <a:pt x="221882" y="1658708"/>
              </a:lnTo>
              <a:lnTo>
                <a:pt x="199295" y="1703554"/>
              </a:lnTo>
              <a:lnTo>
                <a:pt x="183185" y="1736292"/>
              </a:lnTo>
              <a:lnTo>
                <a:pt x="175016" y="1752834"/>
              </a:lnTo>
              <a:lnTo>
                <a:pt x="166755" y="1769522"/>
              </a:lnTo>
              <a:lnTo>
                <a:pt x="158370" y="1786467"/>
              </a:lnTo>
              <a:lnTo>
                <a:pt x="150003" y="1803245"/>
              </a:lnTo>
              <a:lnTo>
                <a:pt x="141796" y="1819436"/>
              </a:lnTo>
              <a:lnTo>
                <a:pt x="133667" y="1835082"/>
              </a:lnTo>
              <a:lnTo>
                <a:pt x="125582" y="1850357"/>
              </a:lnTo>
              <a:lnTo>
                <a:pt x="117747" y="1865032"/>
              </a:lnTo>
              <a:lnTo>
                <a:pt x="110371" y="1878876"/>
              </a:lnTo>
              <a:lnTo>
                <a:pt x="103463" y="1891937"/>
              </a:lnTo>
              <a:lnTo>
                <a:pt x="96926" y="1904300"/>
              </a:lnTo>
              <a:lnTo>
                <a:pt x="90815" y="1915795"/>
              </a:lnTo>
              <a:lnTo>
                <a:pt x="85186" y="1926252"/>
              </a:lnTo>
              <a:lnTo>
                <a:pt x="79909" y="1935736"/>
              </a:lnTo>
              <a:lnTo>
                <a:pt x="75005" y="1944300"/>
              </a:lnTo>
              <a:lnTo>
                <a:pt x="70745" y="1951758"/>
              </a:lnTo>
              <a:lnTo>
                <a:pt x="67401" y="1957921"/>
              </a:lnTo>
              <a:lnTo>
                <a:pt x="63674" y="1965191"/>
              </a:lnTo>
              <a:lnTo>
                <a:pt x="62309" y="1969221"/>
              </a:lnTo>
              <a:lnTo>
                <a:pt x="62824" y="1969873"/>
              </a:lnTo>
              <a:lnTo>
                <a:pt x="63339" y="1970526"/>
              </a:lnTo>
              <a:lnTo>
                <a:pt x="89460" y="1933826"/>
              </a:lnTo>
              <a:lnTo>
                <a:pt x="109838" y="1899354"/>
              </a:lnTo>
              <a:lnTo>
                <a:pt x="133178" y="1856741"/>
              </a:lnTo>
              <a:lnTo>
                <a:pt x="158205" y="1808824"/>
              </a:lnTo>
              <a:lnTo>
                <a:pt x="183884" y="1758243"/>
              </a:lnTo>
              <a:lnTo>
                <a:pt x="201040" y="1723966"/>
              </a:lnTo>
              <a:lnTo>
                <a:pt x="217858" y="1690080"/>
              </a:lnTo>
              <a:lnTo>
                <a:pt x="226003" y="1673685"/>
              </a:lnTo>
              <a:lnTo>
                <a:pt x="249240" y="1626367"/>
              </a:lnTo>
              <a:lnTo>
                <a:pt x="269628" y="1582559"/>
              </a:lnTo>
              <a:lnTo>
                <a:pt x="286165" y="1544494"/>
              </a:lnTo>
              <a:lnTo>
                <a:pt x="290791" y="1533356"/>
              </a:lnTo>
              <a:lnTo>
                <a:pt x="294995" y="1523472"/>
              </a:lnTo>
              <a:lnTo>
                <a:pt x="312957" y="1487785"/>
              </a:lnTo>
              <a:lnTo>
                <a:pt x="314648" y="1488925"/>
              </a:lnTo>
              <a:lnTo>
                <a:pt x="316340" y="1490066"/>
              </a:lnTo>
              <a:lnTo>
                <a:pt x="317397" y="1495524"/>
              </a:lnTo>
              <a:lnTo>
                <a:pt x="317739" y="1502890"/>
              </a:lnTo>
              <a:lnTo>
                <a:pt x="317852" y="1508968"/>
              </a:lnTo>
              <a:lnTo>
                <a:pt x="317697" y="1516094"/>
              </a:lnTo>
              <a:lnTo>
                <a:pt x="313439" y="1565559"/>
              </a:lnTo>
              <a:lnTo>
                <a:pt x="312151" y="1577692"/>
              </a:lnTo>
              <a:lnTo>
                <a:pt x="310865" y="1590460"/>
              </a:lnTo>
              <a:lnTo>
                <a:pt x="309521" y="1603926"/>
              </a:lnTo>
              <a:lnTo>
                <a:pt x="308109" y="1617744"/>
              </a:lnTo>
              <a:lnTo>
                <a:pt x="306621" y="1631571"/>
              </a:lnTo>
              <a:lnTo>
                <a:pt x="305015" y="1645443"/>
              </a:lnTo>
              <a:lnTo>
                <a:pt x="303309" y="1659502"/>
              </a:lnTo>
              <a:lnTo>
                <a:pt x="301584" y="1673559"/>
              </a:lnTo>
              <a:lnTo>
                <a:pt x="299920" y="1687427"/>
              </a:lnTo>
              <a:lnTo>
                <a:pt x="295203" y="1728219"/>
              </a:lnTo>
              <a:lnTo>
                <a:pt x="291184" y="1766429"/>
              </a:lnTo>
              <a:lnTo>
                <a:pt x="288946" y="1789780"/>
              </a:lnTo>
              <a:lnTo>
                <a:pt x="287861" y="1800547"/>
              </a:lnTo>
              <a:lnTo>
                <a:pt x="286796" y="1810790"/>
              </a:lnTo>
              <a:lnTo>
                <a:pt x="285969" y="1820340"/>
              </a:lnTo>
              <a:lnTo>
                <a:pt x="285602" y="1829024"/>
              </a:lnTo>
              <a:lnTo>
                <a:pt x="285662" y="1836957"/>
              </a:lnTo>
              <a:lnTo>
                <a:pt x="295142" y="1863325"/>
              </a:lnTo>
              <a:lnTo>
                <a:pt x="300344" y="1862607"/>
              </a:lnTo>
              <a:lnTo>
                <a:pt x="305546" y="1861888"/>
              </a:lnTo>
              <a:lnTo>
                <a:pt x="338737" y="1829998"/>
              </a:lnTo>
              <a:lnTo>
                <a:pt x="361082" y="1798091"/>
              </a:lnTo>
              <a:lnTo>
                <a:pt x="386087" y="1756917"/>
              </a:lnTo>
              <a:lnTo>
                <a:pt x="413004" y="1708239"/>
              </a:lnTo>
              <a:lnTo>
                <a:pt x="431141" y="1671582"/>
              </a:lnTo>
              <a:lnTo>
                <a:pt x="449256" y="1632577"/>
              </a:lnTo>
              <a:lnTo>
                <a:pt x="467076" y="1592318"/>
              </a:lnTo>
              <a:lnTo>
                <a:pt x="484580" y="1550590"/>
              </a:lnTo>
              <a:lnTo>
                <a:pt x="501745" y="1506969"/>
              </a:lnTo>
              <a:lnTo>
                <a:pt x="518297" y="1463175"/>
              </a:lnTo>
              <a:lnTo>
                <a:pt x="533939" y="1420733"/>
              </a:lnTo>
              <a:lnTo>
                <a:pt x="548721" y="1379808"/>
              </a:lnTo>
              <a:lnTo>
                <a:pt x="562664" y="1340816"/>
              </a:lnTo>
              <a:lnTo>
                <a:pt x="569273" y="1322208"/>
              </a:lnTo>
              <a:lnTo>
                <a:pt x="575568" y="1304536"/>
              </a:lnTo>
              <a:lnTo>
                <a:pt x="581573" y="1287796"/>
              </a:lnTo>
              <a:lnTo>
                <a:pt x="587304" y="1271873"/>
              </a:lnTo>
              <a:lnTo>
                <a:pt x="592696" y="1256865"/>
              </a:lnTo>
              <a:lnTo>
                <a:pt x="597683" y="1242869"/>
              </a:lnTo>
              <a:lnTo>
                <a:pt x="602247" y="1229748"/>
              </a:lnTo>
              <a:lnTo>
                <a:pt x="606422" y="1217505"/>
              </a:lnTo>
              <a:lnTo>
                <a:pt x="610225" y="1206443"/>
              </a:lnTo>
              <a:lnTo>
                <a:pt x="626513" y="1169722"/>
              </a:lnTo>
              <a:lnTo>
                <a:pt x="628147" y="1171427"/>
              </a:lnTo>
              <a:lnTo>
                <a:pt x="631784" y="1207715"/>
              </a:lnTo>
              <a:lnTo>
                <a:pt x="631747" y="1218591"/>
              </a:lnTo>
              <a:lnTo>
                <a:pt x="630459" y="1257515"/>
              </a:lnTo>
              <a:lnTo>
                <a:pt x="628325" y="1301307"/>
              </a:lnTo>
              <a:lnTo>
                <a:pt x="627535" y="1316599"/>
              </a:lnTo>
              <a:lnTo>
                <a:pt x="626741" y="1332196"/>
              </a:lnTo>
              <a:lnTo>
                <a:pt x="625917" y="1348164"/>
              </a:lnTo>
              <a:lnTo>
                <a:pt x="625095" y="1364199"/>
              </a:lnTo>
              <a:lnTo>
                <a:pt x="622829" y="1411382"/>
              </a:lnTo>
              <a:lnTo>
                <a:pt x="620880" y="1455088"/>
              </a:lnTo>
              <a:lnTo>
                <a:pt x="619333" y="1492661"/>
              </a:lnTo>
              <a:lnTo>
                <a:pt x="618795" y="1503871"/>
              </a:lnTo>
              <a:lnTo>
                <a:pt x="618226" y="1514490"/>
              </a:lnTo>
              <a:lnTo>
                <a:pt x="617850" y="1524032"/>
              </a:lnTo>
              <a:lnTo>
                <a:pt x="617890" y="1532009"/>
              </a:lnTo>
              <a:lnTo>
                <a:pt x="618318" y="1541387"/>
              </a:lnTo>
              <a:lnTo>
                <a:pt x="619416" y="1547524"/>
              </a:lnTo>
              <a:lnTo>
                <a:pt x="621906" y="1548924"/>
              </a:lnTo>
              <a:lnTo>
                <a:pt x="624397" y="1550323"/>
              </a:lnTo>
              <a:lnTo>
                <a:pt x="648598" y="1507657"/>
              </a:lnTo>
              <a:lnTo>
                <a:pt x="662479" y="1468071"/>
              </a:lnTo>
              <a:lnTo>
                <a:pt x="677257" y="1416126"/>
              </a:lnTo>
              <a:lnTo>
                <a:pt x="687636" y="1375285"/>
              </a:lnTo>
              <a:lnTo>
                <a:pt x="698807" y="1330133"/>
              </a:lnTo>
              <a:lnTo>
                <a:pt x="710113" y="1281348"/>
              </a:lnTo>
              <a:lnTo>
                <a:pt x="721027" y="1229288"/>
              </a:lnTo>
              <a:lnTo>
                <a:pt x="731483" y="1175407"/>
              </a:lnTo>
              <a:lnTo>
                <a:pt x="741223" y="1120847"/>
              </a:lnTo>
              <a:lnTo>
                <a:pt x="750286" y="1066896"/>
              </a:lnTo>
              <a:lnTo>
                <a:pt x="758696" y="1014993"/>
              </a:lnTo>
              <a:lnTo>
                <a:pt x="766231" y="965824"/>
              </a:lnTo>
              <a:lnTo>
                <a:pt x="772647" y="920430"/>
              </a:lnTo>
              <a:lnTo>
                <a:pt x="778036" y="879175"/>
              </a:lnTo>
              <a:lnTo>
                <a:pt x="784163" y="826421"/>
              </a:lnTo>
              <a:lnTo>
                <a:pt x="788313" y="784165"/>
              </a:lnTo>
              <a:lnTo>
                <a:pt x="790140" y="762561"/>
              </a:lnTo>
              <a:lnTo>
                <a:pt x="791195" y="750405"/>
              </a:lnTo>
              <a:lnTo>
                <a:pt x="791971" y="741500"/>
              </a:lnTo>
              <a:lnTo>
                <a:pt x="792096" y="738290"/>
              </a:lnTo>
              <a:lnTo>
                <a:pt x="792221" y="735080"/>
              </a:lnTo>
              <a:lnTo>
                <a:pt x="792061" y="736903"/>
              </a:lnTo>
              <a:lnTo>
                <a:pt x="790889" y="743302"/>
              </a:lnTo>
              <a:lnTo>
                <a:pt x="789864" y="749036"/>
              </a:lnTo>
              <a:lnTo>
                <a:pt x="788550" y="756574"/>
              </a:lnTo>
              <a:lnTo>
                <a:pt x="786948" y="765823"/>
              </a:lnTo>
              <a:lnTo>
                <a:pt x="785063" y="776685"/>
              </a:lnTo>
              <a:lnTo>
                <a:pt x="782838" y="789235"/>
              </a:lnTo>
              <a:lnTo>
                <a:pt x="780289" y="803492"/>
              </a:lnTo>
              <a:lnTo>
                <a:pt x="777531" y="819274"/>
              </a:lnTo>
              <a:lnTo>
                <a:pt x="768687" y="874731"/>
              </a:lnTo>
              <a:lnTo>
                <a:pt x="762157" y="918566"/>
              </a:lnTo>
              <a:lnTo>
                <a:pt x="755158" y="968296"/>
              </a:lnTo>
              <a:lnTo>
                <a:pt x="751424" y="994971"/>
              </a:lnTo>
              <a:lnTo>
                <a:pt x="743203" y="1050310"/>
              </a:lnTo>
              <a:lnTo>
                <a:pt x="734052" y="1108702"/>
              </a:lnTo>
              <a:lnTo>
                <a:pt x="724441" y="1169075"/>
              </a:lnTo>
              <a:lnTo>
                <a:pt x="714370" y="1231428"/>
              </a:lnTo>
              <a:lnTo>
                <a:pt x="704116" y="1293521"/>
              </a:lnTo>
              <a:lnTo>
                <a:pt x="693677" y="1355356"/>
              </a:lnTo>
              <a:lnTo>
                <a:pt x="683185" y="1414601"/>
              </a:lnTo>
              <a:lnTo>
                <a:pt x="672640" y="1471258"/>
              </a:lnTo>
              <a:lnTo>
                <a:pt x="662559" y="1523906"/>
              </a:lnTo>
              <a:lnTo>
                <a:pt x="652943" y="1572545"/>
              </a:lnTo>
              <a:lnTo>
                <a:pt x="644414" y="1615298"/>
              </a:lnTo>
              <a:lnTo>
                <a:pt x="636974" y="1652165"/>
              </a:lnTo>
              <a:lnTo>
                <a:pt x="633685" y="1668503"/>
              </a:lnTo>
              <a:lnTo>
                <a:pt x="630709" y="1683703"/>
              </a:lnTo>
              <a:lnTo>
                <a:pt x="628030" y="1697670"/>
              </a:lnTo>
              <a:lnTo>
                <a:pt x="625621" y="1709910"/>
              </a:lnTo>
              <a:lnTo>
                <a:pt x="623456" y="1719932"/>
              </a:lnTo>
              <a:lnTo>
                <a:pt x="620720" y="1731595"/>
              </a:lnTo>
              <a:lnTo>
                <a:pt x="618820" y="1737993"/>
              </a:lnTo>
              <a:lnTo>
                <a:pt x="617271" y="1738479"/>
              </a:lnTo>
              <a:lnTo>
                <a:pt x="615721" y="1738967"/>
              </a:lnTo>
              <a:lnTo>
                <a:pt x="612102" y="1689631"/>
              </a:lnTo>
              <a:lnTo>
                <a:pt x="610414" y="1640211"/>
              </a:lnTo>
              <a:lnTo>
                <a:pt x="609503" y="1599673"/>
              </a:lnTo>
              <a:lnTo>
                <a:pt x="608769" y="1554526"/>
              </a:lnTo>
              <a:lnTo>
                <a:pt x="608189" y="1505637"/>
              </a:lnTo>
              <a:lnTo>
                <a:pt x="607752" y="1453861"/>
              </a:lnTo>
              <a:lnTo>
                <a:pt x="607436" y="1400399"/>
              </a:lnTo>
              <a:lnTo>
                <a:pt x="607222" y="1346417"/>
              </a:lnTo>
              <a:lnTo>
                <a:pt x="607092" y="1292872"/>
              </a:lnTo>
              <a:lnTo>
                <a:pt x="607026" y="1240786"/>
              </a:lnTo>
              <a:lnTo>
                <a:pt x="607011" y="1191138"/>
              </a:lnTo>
              <a:lnTo>
                <a:pt x="607015" y="1167808"/>
              </a:lnTo>
              <a:lnTo>
                <a:pt x="607051" y="1123721"/>
              </a:lnTo>
              <a:lnTo>
                <a:pt x="607102" y="1083511"/>
              </a:lnTo>
              <a:lnTo>
                <a:pt x="607201" y="1030433"/>
              </a:lnTo>
              <a:lnTo>
                <a:pt x="607304" y="985833"/>
              </a:lnTo>
              <a:lnTo>
                <a:pt x="607426" y="940275"/>
              </a:lnTo>
              <a:lnTo>
                <a:pt x="607453" y="931139"/>
              </a:lnTo>
              <a:lnTo>
                <a:pt x="607478" y="922634"/>
              </a:lnTo>
              <a:lnTo>
                <a:pt x="607584" y="893874"/>
              </a:lnTo>
              <a:lnTo>
                <a:pt x="607649" y="928921"/>
              </a:lnTo>
              <a:lnTo>
                <a:pt x="607689" y="937132"/>
              </a:lnTo>
              <a:lnTo>
                <a:pt x="607754" y="946034"/>
              </a:lnTo>
              <a:lnTo>
                <a:pt x="607767" y="955542"/>
              </a:lnTo>
              <a:lnTo>
                <a:pt x="607653" y="965571"/>
              </a:lnTo>
              <a:lnTo>
                <a:pt x="606030" y="1011008"/>
              </a:lnTo>
              <a:lnTo>
                <a:pt x="602248" y="1057974"/>
              </a:lnTo>
              <a:lnTo>
                <a:pt x="598030" y="1102581"/>
              </a:lnTo>
              <a:lnTo>
                <a:pt x="597044" y="1112796"/>
              </a:lnTo>
              <a:lnTo>
                <a:pt x="592265" y="1158380"/>
              </a:lnTo>
              <a:lnTo>
                <a:pt x="591473" y="1162708"/>
              </a:lnTo>
              <a:lnTo>
                <a:pt x="590681" y="1167038"/>
              </a:lnTo>
              <a:lnTo>
                <a:pt x="590066" y="1168513"/>
              </a:lnTo>
              <a:lnTo>
                <a:pt x="589559" y="1166019"/>
              </a:lnTo>
              <a:lnTo>
                <a:pt x="589052" y="1163526"/>
              </a:lnTo>
              <a:lnTo>
                <a:pt x="587984" y="1124322"/>
              </a:lnTo>
              <a:lnTo>
                <a:pt x="587747" y="1085397"/>
              </a:lnTo>
              <a:lnTo>
                <a:pt x="587732" y="1074833"/>
              </a:lnTo>
              <a:lnTo>
                <a:pt x="587768" y="1064042"/>
              </a:lnTo>
              <a:lnTo>
                <a:pt x="587845" y="1052956"/>
              </a:lnTo>
              <a:lnTo>
                <a:pt x="587881" y="1041781"/>
              </a:lnTo>
              <a:lnTo>
                <a:pt x="586771" y="997817"/>
              </a:lnTo>
              <a:lnTo>
                <a:pt x="584975" y="959027"/>
              </a:lnTo>
              <a:lnTo>
                <a:pt x="580847" y="919340"/>
              </a:lnTo>
              <a:lnTo>
                <a:pt x="577218" y="901919"/>
              </a:lnTo>
              <a:lnTo>
                <a:pt x="577159" y="895080"/>
              </a:lnTo>
              <a:lnTo>
                <a:pt x="577100" y="888240"/>
              </a:lnTo>
              <a:lnTo>
                <a:pt x="576731" y="882796"/>
              </a:lnTo>
              <a:lnTo>
                <a:pt x="580495" y="878302"/>
              </a:lnTo>
              <a:lnTo>
                <a:pt x="617063" y="865692"/>
              </a:lnTo>
              <a:lnTo>
                <a:pt x="668575" y="864317"/>
              </a:lnTo>
              <a:lnTo>
                <a:pt x="685095" y="864540"/>
              </a:lnTo>
              <a:lnTo>
                <a:pt x="703090" y="864977"/>
              </a:lnTo>
              <a:lnTo>
                <a:pt x="722688" y="865681"/>
              </a:lnTo>
              <a:lnTo>
                <a:pt x="743838" y="866642"/>
              </a:lnTo>
              <a:lnTo>
                <a:pt x="766287" y="867748"/>
              </a:lnTo>
              <a:lnTo>
                <a:pt x="789781" y="868884"/>
              </a:lnTo>
              <a:lnTo>
                <a:pt x="840468" y="871234"/>
              </a:lnTo>
              <a:lnTo>
                <a:pt x="894547" y="873885"/>
              </a:lnTo>
              <a:lnTo>
                <a:pt x="950602" y="876987"/>
              </a:lnTo>
              <a:lnTo>
                <a:pt x="979375" y="878621"/>
              </a:lnTo>
              <a:lnTo>
                <a:pt x="1008367" y="880202"/>
              </a:lnTo>
              <a:lnTo>
                <a:pt x="1067201" y="883255"/>
              </a:lnTo>
              <a:lnTo>
                <a:pt x="1126816" y="886104"/>
              </a:lnTo>
              <a:lnTo>
                <a:pt x="1186964" y="888512"/>
              </a:lnTo>
              <a:lnTo>
                <a:pt x="1217073" y="889636"/>
              </a:lnTo>
              <a:lnTo>
                <a:pt x="1246892" y="890796"/>
              </a:lnTo>
              <a:lnTo>
                <a:pt x="1276350" y="892024"/>
              </a:lnTo>
              <a:lnTo>
                <a:pt x="1305576" y="893281"/>
              </a:lnTo>
              <a:lnTo>
                <a:pt x="1334631" y="894522"/>
              </a:lnTo>
              <a:lnTo>
                <a:pt x="1392399" y="896825"/>
              </a:lnTo>
              <a:lnTo>
                <a:pt x="1449653" y="898932"/>
              </a:lnTo>
              <a:lnTo>
                <a:pt x="1506607" y="900725"/>
              </a:lnTo>
              <a:lnTo>
                <a:pt x="1563264" y="902203"/>
              </a:lnTo>
              <a:lnTo>
                <a:pt x="1591707" y="902993"/>
              </a:lnTo>
              <a:lnTo>
                <a:pt x="1620298" y="903878"/>
              </a:lnTo>
              <a:lnTo>
                <a:pt x="1648976" y="904812"/>
              </a:lnTo>
              <a:lnTo>
                <a:pt x="1677711" y="905752"/>
              </a:lnTo>
              <a:lnTo>
                <a:pt x="1706469" y="906657"/>
              </a:lnTo>
              <a:lnTo>
                <a:pt x="1735181" y="907490"/>
              </a:lnTo>
              <a:lnTo>
                <a:pt x="1763883" y="908282"/>
              </a:lnTo>
              <a:lnTo>
                <a:pt x="1792709" y="909091"/>
              </a:lnTo>
              <a:lnTo>
                <a:pt x="1851162" y="910931"/>
              </a:lnTo>
              <a:lnTo>
                <a:pt x="1910541" y="913009"/>
              </a:lnTo>
              <a:lnTo>
                <a:pt x="1970566" y="915398"/>
              </a:lnTo>
              <a:lnTo>
                <a:pt x="2031235" y="918096"/>
              </a:lnTo>
              <a:lnTo>
                <a:pt x="2092262" y="921606"/>
              </a:lnTo>
              <a:lnTo>
                <a:pt x="2153646" y="925927"/>
              </a:lnTo>
              <a:lnTo>
                <a:pt x="2216070" y="930616"/>
              </a:lnTo>
              <a:lnTo>
                <a:pt x="2279532" y="935672"/>
              </a:lnTo>
              <a:lnTo>
                <a:pt x="2345160" y="941330"/>
              </a:lnTo>
              <a:lnTo>
                <a:pt x="2412953" y="947590"/>
              </a:lnTo>
              <a:lnTo>
                <a:pt x="2482107" y="954429"/>
              </a:lnTo>
              <a:lnTo>
                <a:pt x="2552621" y="961847"/>
              </a:lnTo>
              <a:lnTo>
                <a:pt x="2623532" y="969772"/>
              </a:lnTo>
              <a:lnTo>
                <a:pt x="2694841" y="978204"/>
              </a:lnTo>
              <a:lnTo>
                <a:pt x="2730122" y="982394"/>
              </a:lnTo>
              <a:lnTo>
                <a:pt x="2800214" y="990684"/>
              </a:lnTo>
              <a:lnTo>
                <a:pt x="2868244" y="998777"/>
              </a:lnTo>
              <a:lnTo>
                <a:pt x="2933051" y="1006598"/>
              </a:lnTo>
              <a:lnTo>
                <a:pt x="2964119" y="1010342"/>
              </a:lnTo>
              <a:lnTo>
                <a:pt x="3022294" y="1017131"/>
              </a:lnTo>
              <a:lnTo>
                <a:pt x="3075509" y="1023081"/>
              </a:lnTo>
              <a:lnTo>
                <a:pt x="3122899" y="1028106"/>
              </a:lnTo>
              <a:lnTo>
                <a:pt x="3164464" y="1032206"/>
              </a:lnTo>
              <a:lnTo>
                <a:pt x="3216200" y="1036821"/>
              </a:lnTo>
              <a:lnTo>
                <a:pt x="3255954" y="1039833"/>
              </a:lnTo>
              <a:lnTo>
                <a:pt x="3299306" y="1042159"/>
              </a:lnTo>
              <a:lnTo>
                <a:pt x="3317332" y="1042578"/>
              </a:lnTo>
              <a:lnTo>
                <a:pt x="3321714" y="1042464"/>
              </a:lnTo>
              <a:lnTo>
                <a:pt x="3325772" y="1042354"/>
              </a:lnTo>
              <a:lnTo>
                <a:pt x="3329829" y="1042246"/>
              </a:lnTo>
              <a:lnTo>
                <a:pt x="3333684" y="1041462"/>
              </a:lnTo>
              <a:lnTo>
                <a:pt x="3334863" y="1041789"/>
              </a:lnTo>
              <a:lnTo>
                <a:pt x="3336042" y="1042117"/>
              </a:lnTo>
              <a:lnTo>
                <a:pt x="3336547" y="1043021"/>
              </a:lnTo>
              <a:lnTo>
                <a:pt x="3332845" y="1044321"/>
              </a:lnTo>
              <a:lnTo>
                <a:pt x="3329142" y="1045621"/>
              </a:lnTo>
              <a:lnTo>
                <a:pt x="3323294" y="1047215"/>
              </a:lnTo>
              <a:lnTo>
                <a:pt x="3312648" y="1049591"/>
              </a:lnTo>
              <a:lnTo>
                <a:pt x="3304012" y="1051530"/>
              </a:lnTo>
              <a:lnTo>
                <a:pt x="3254027" y="1061153"/>
              </a:lnTo>
              <a:lnTo>
                <a:pt x="3198279" y="1069507"/>
              </a:lnTo>
              <a:lnTo>
                <a:pt x="3149907" y="1075194"/>
              </a:lnTo>
              <a:lnTo>
                <a:pt x="3092066" y="1081176"/>
              </a:lnTo>
              <a:lnTo>
                <a:pt x="3023899" y="1087711"/>
              </a:lnTo>
              <a:lnTo>
                <a:pt x="2945628" y="1094470"/>
              </a:lnTo>
              <a:lnTo>
                <a:pt x="2902403" y="1097800"/>
              </a:lnTo>
              <a:lnTo>
                <a:pt x="2856460" y="1101128"/>
              </a:lnTo>
              <a:lnTo>
                <a:pt x="2808341" y="1104493"/>
              </a:lnTo>
              <a:lnTo>
                <a:pt x="2758589" y="1107936"/>
              </a:lnTo>
              <a:lnTo>
                <a:pt x="2707157" y="1111496"/>
              </a:lnTo>
              <a:lnTo>
                <a:pt x="2653820" y="1115143"/>
              </a:lnTo>
              <a:lnTo>
                <a:pt x="2598851" y="1118812"/>
              </a:lnTo>
              <a:lnTo>
                <a:pt x="2542527" y="1122439"/>
              </a:lnTo>
              <a:lnTo>
                <a:pt x="2496269" y="1125336"/>
              </a:lnTo>
              <a:lnTo>
                <a:pt x="2448819" y="1128257"/>
              </a:lnTo>
              <a:lnTo>
                <a:pt x="2400575" y="1131146"/>
              </a:lnTo>
              <a:lnTo>
                <a:pt x="2351936" y="1133950"/>
              </a:lnTo>
              <a:lnTo>
                <a:pt x="2303300" y="1136615"/>
              </a:lnTo>
              <a:lnTo>
                <a:pt x="2254308" y="1139153"/>
              </a:lnTo>
              <a:lnTo>
                <a:pt x="2204695" y="1141598"/>
              </a:lnTo>
              <a:lnTo>
                <a:pt x="2154998" y="1143935"/>
              </a:lnTo>
              <a:lnTo>
                <a:pt x="2105755" y="1146147"/>
              </a:lnTo>
              <a:lnTo>
                <a:pt x="2057502" y="1148218"/>
              </a:lnTo>
              <a:lnTo>
                <a:pt x="2010052" y="1150118"/>
              </a:lnTo>
              <a:lnTo>
                <a:pt x="1963046" y="1151859"/>
              </a:lnTo>
              <a:lnTo>
                <a:pt x="1916767" y="1153483"/>
              </a:lnTo>
              <a:lnTo>
                <a:pt x="1871495" y="1155036"/>
              </a:lnTo>
              <a:lnTo>
                <a:pt x="1827514" y="1156561"/>
              </a:lnTo>
              <a:lnTo>
                <a:pt x="1774142" y="1158435"/>
              </a:lnTo>
              <a:lnTo>
                <a:pt x="1722372" y="1160227"/>
              </a:lnTo>
              <a:lnTo>
                <a:pt x="1672564" y="1161915"/>
              </a:lnTo>
              <a:lnTo>
                <a:pt x="1625078" y="1163477"/>
              </a:lnTo>
              <a:lnTo>
                <a:pt x="1579871" y="1164909"/>
              </a:lnTo>
              <a:lnTo>
                <a:pt x="1536798" y="1166221"/>
              </a:lnTo>
              <a:lnTo>
                <a:pt x="1496062" y="1167418"/>
              </a:lnTo>
              <a:lnTo>
                <a:pt x="1457866" y="1168503"/>
              </a:lnTo>
              <a:lnTo>
                <a:pt x="1389277" y="1170218"/>
              </a:lnTo>
              <a:lnTo>
                <a:pt x="1358622" y="1170953"/>
              </a:lnTo>
              <a:lnTo>
                <a:pt x="1304159" y="1172579"/>
              </a:lnTo>
              <a:lnTo>
                <a:pt x="1258923" y="1174310"/>
              </a:lnTo>
              <a:lnTo>
                <a:pt x="1205516" y="1176659"/>
              </a:lnTo>
              <a:lnTo>
                <a:pt x="1157962" y="1179211"/>
              </a:lnTo>
              <a:lnTo>
                <a:pt x="1142111" y="1180202"/>
              </a:lnTo>
              <a:lnTo>
                <a:pt x="1132415" y="1180802"/>
              </a:lnTo>
              <a:lnTo>
                <a:pt x="1126111" y="1181256"/>
              </a:lnTo>
              <a:lnTo>
                <a:pt x="1120492" y="1181630"/>
              </a:lnTo>
              <a:lnTo>
                <a:pt x="1114873" y="1182005"/>
              </a:lnTo>
              <a:lnTo>
                <a:pt x="1111562" y="1182249"/>
              </a:lnTo>
              <a:lnTo>
                <a:pt x="1108397" y="1182447"/>
              </a:lnTo>
              <a:lnTo>
                <a:pt x="1105232" y="1182645"/>
              </a:lnTo>
              <a:lnTo>
                <a:pt x="1092426" y="1182907"/>
              </a:lnTo>
              <a:lnTo>
                <a:pt x="1089099" y="1182868"/>
              </a:lnTo>
              <a:lnTo>
                <a:pt x="1085252" y="1182833"/>
              </a:lnTo>
              <a:lnTo>
                <a:pt x="1081405" y="1182799"/>
              </a:lnTo>
              <a:lnTo>
                <a:pt x="1077164" y="1182743"/>
              </a:lnTo>
              <a:lnTo>
                <a:pt x="1072051" y="1182695"/>
              </a:lnTo>
              <a:lnTo>
                <a:pt x="1041401" y="1182457"/>
              </a:lnTo>
              <a:lnTo>
                <a:pt x="1036305" y="1182420"/>
              </a:lnTo>
              <a:lnTo>
                <a:pt x="1031208" y="1182382"/>
              </a:lnTo>
              <a:lnTo>
                <a:pt x="1025089" y="1182891"/>
              </a:lnTo>
              <a:lnTo>
                <a:pt x="1023990" y="1182324"/>
              </a:lnTo>
              <a:lnTo>
                <a:pt x="1022891" y="1181758"/>
              </a:lnTo>
              <a:lnTo>
                <a:pt x="1023222" y="1180565"/>
              </a:lnTo>
              <a:lnTo>
                <a:pt x="1029712" y="1179021"/>
              </a:lnTo>
              <a:lnTo>
                <a:pt x="1035171" y="1177837"/>
              </a:lnTo>
              <a:lnTo>
                <a:pt x="1042171" y="1176527"/>
              </a:lnTo>
              <a:lnTo>
                <a:pt x="1051246" y="1174972"/>
              </a:lnTo>
              <a:lnTo>
                <a:pt x="1062929" y="1173054"/>
              </a:lnTo>
              <a:lnTo>
                <a:pt x="1076990" y="1170649"/>
              </a:lnTo>
              <a:lnTo>
                <a:pt x="1135042" y="1161911"/>
              </a:lnTo>
              <a:lnTo>
                <a:pt x="1189931" y="1155931"/>
              </a:lnTo>
              <a:lnTo>
                <a:pt x="1259726" y="1150073"/>
              </a:lnTo>
              <a:lnTo>
                <a:pt x="1301340" y="1147353"/>
              </a:lnTo>
              <a:lnTo>
                <a:pt x="1347138" y="1144723"/>
              </a:lnTo>
              <a:lnTo>
                <a:pt x="1397071" y="1142225"/>
              </a:lnTo>
              <a:lnTo>
                <a:pt x="1451090" y="1139901"/>
              </a:lnTo>
              <a:lnTo>
                <a:pt x="1497400" y="1138174"/>
              </a:lnTo>
              <a:lnTo>
                <a:pt x="1546497" y="1136549"/>
              </a:lnTo>
              <a:lnTo>
                <a:pt x="1598140" y="1135027"/>
              </a:lnTo>
              <a:lnTo>
                <a:pt x="1652085" y="1133607"/>
              </a:lnTo>
              <a:lnTo>
                <a:pt x="1708094" y="1132291"/>
              </a:lnTo>
              <a:lnTo>
                <a:pt x="1756612" y="1131278"/>
              </a:lnTo>
              <a:lnTo>
                <a:pt x="1807010" y="1130342"/>
              </a:lnTo>
              <a:lnTo>
                <a:pt x="1858952" y="1129478"/>
              </a:lnTo>
              <a:lnTo>
                <a:pt x="1912102" y="1128680"/>
              </a:lnTo>
              <a:lnTo>
                <a:pt x="1966123" y="1127941"/>
              </a:lnTo>
              <a:lnTo>
                <a:pt x="2020680" y="1127256"/>
              </a:lnTo>
              <a:lnTo>
                <a:pt x="2068191" y="1126716"/>
              </a:lnTo>
              <a:lnTo>
                <a:pt x="2116735" y="1126227"/>
              </a:lnTo>
              <a:lnTo>
                <a:pt x="2166017" y="1125784"/>
              </a:lnTo>
              <a:lnTo>
                <a:pt x="2215743" y="1125381"/>
              </a:lnTo>
              <a:lnTo>
                <a:pt x="2265620" y="1125013"/>
              </a:lnTo>
              <a:lnTo>
                <a:pt x="2315352" y="1124676"/>
              </a:lnTo>
              <a:lnTo>
                <a:pt x="2364646" y="1124363"/>
              </a:lnTo>
              <a:lnTo>
                <a:pt x="2413927" y="1124097"/>
              </a:lnTo>
              <a:lnTo>
                <a:pt x="2463599" y="1123888"/>
              </a:lnTo>
              <a:lnTo>
                <a:pt x="2513335" y="1123717"/>
              </a:lnTo>
              <a:lnTo>
                <a:pt x="2562805" y="1123565"/>
              </a:lnTo>
              <a:lnTo>
                <a:pt x="2611683" y="1123413"/>
              </a:lnTo>
              <a:lnTo>
                <a:pt x="2659640" y="1123243"/>
              </a:lnTo>
              <a:lnTo>
                <a:pt x="2706347" y="1123035"/>
              </a:lnTo>
              <a:lnTo>
                <a:pt x="2759701" y="1122765"/>
              </a:lnTo>
              <a:lnTo>
                <a:pt x="2812274" y="1122492"/>
              </a:lnTo>
              <a:lnTo>
                <a:pt x="2863742" y="1122202"/>
              </a:lnTo>
              <a:lnTo>
                <a:pt x="2913781" y="1121881"/>
              </a:lnTo>
              <a:lnTo>
                <a:pt x="2962067" y="1121516"/>
              </a:lnTo>
              <a:lnTo>
                <a:pt x="3008276" y="1121093"/>
              </a:lnTo>
              <a:lnTo>
                <a:pt x="3061208" y="1120491"/>
              </a:lnTo>
              <a:lnTo>
                <a:pt x="3111734" y="1119802"/>
              </a:lnTo>
              <a:lnTo>
                <a:pt x="3159676" y="1119061"/>
              </a:lnTo>
              <a:lnTo>
                <a:pt x="3204856" y="1118301"/>
              </a:lnTo>
              <a:lnTo>
                <a:pt x="3247096" y="1117555"/>
              </a:lnTo>
              <a:lnTo>
                <a:pt x="3295701" y="1116661"/>
              </a:lnTo>
              <a:lnTo>
                <a:pt x="3339843" y="1115768"/>
              </a:lnTo>
              <a:lnTo>
                <a:pt x="3379683" y="1114836"/>
              </a:lnTo>
              <a:lnTo>
                <a:pt x="3446660" y="1112687"/>
              </a:lnTo>
              <a:lnTo>
                <a:pt x="3496629" y="1110213"/>
              </a:lnTo>
              <a:lnTo>
                <a:pt x="3546106" y="1106659"/>
              </a:lnTo>
              <a:lnTo>
                <a:pt x="3573551" y="1101864"/>
              </a:lnTo>
              <a:lnTo>
                <a:pt x="3569391" y="1100832"/>
              </a:lnTo>
              <a:lnTo>
                <a:pt x="3526699" y="1097754"/>
              </a:lnTo>
              <a:lnTo>
                <a:pt x="3480594" y="1096688"/>
              </a:lnTo>
              <a:lnTo>
                <a:pt x="3462532" y="1096693"/>
              </a:lnTo>
              <a:lnTo>
                <a:pt x="3422035" y="1097150"/>
              </a:lnTo>
              <a:lnTo>
                <a:pt x="3374399" y="1097858"/>
              </a:lnTo>
              <a:lnTo>
                <a:pt x="3319627" y="1098818"/>
              </a:lnTo>
              <a:lnTo>
                <a:pt x="3289008" y="1099318"/>
              </a:lnTo>
              <a:lnTo>
                <a:pt x="3220947" y="1100348"/>
              </a:lnTo>
              <a:lnTo>
                <a:pt x="3144427" y="1101374"/>
              </a:lnTo>
              <a:lnTo>
                <a:pt x="3103139" y="1101855"/>
              </a:lnTo>
              <a:lnTo>
                <a:pt x="3059805" y="1102323"/>
              </a:lnTo>
              <a:lnTo>
                <a:pt x="3014341" y="1102770"/>
              </a:lnTo>
              <a:lnTo>
                <a:pt x="2966661" y="1103188"/>
              </a:lnTo>
              <a:lnTo>
                <a:pt x="2916633" y="1103574"/>
              </a:lnTo>
              <a:lnTo>
                <a:pt x="2864339" y="1103934"/>
              </a:lnTo>
              <a:lnTo>
                <a:pt x="2810016" y="1104267"/>
              </a:lnTo>
              <a:lnTo>
                <a:pt x="2753899" y="1104571"/>
              </a:lnTo>
              <a:lnTo>
                <a:pt x="2707398" y="1104793"/>
              </a:lnTo>
              <a:lnTo>
                <a:pt x="2659343" y="1104996"/>
              </a:lnTo>
              <a:lnTo>
                <a:pt x="2610267" y="1105181"/>
              </a:lnTo>
              <a:lnTo>
                <a:pt x="2560704" y="1105350"/>
              </a:lnTo>
              <a:lnTo>
                <a:pt x="2511186" y="1105505"/>
              </a:lnTo>
              <a:lnTo>
                <a:pt x="2461488" y="1105644"/>
              </a:lnTo>
              <a:lnTo>
                <a:pt x="2411255" y="1105766"/>
              </a:lnTo>
              <a:lnTo>
                <a:pt x="2360825" y="1105874"/>
              </a:lnTo>
              <a:lnTo>
                <a:pt x="2310534" y="1105969"/>
              </a:lnTo>
              <a:lnTo>
                <a:pt x="2260720" y="1106054"/>
              </a:lnTo>
              <a:lnTo>
                <a:pt x="2211104" y="1106129"/>
              </a:lnTo>
              <a:lnTo>
                <a:pt x="2161464" y="1106190"/>
              </a:lnTo>
              <a:lnTo>
                <a:pt x="2112213" y="1106241"/>
              </a:lnTo>
              <a:lnTo>
                <a:pt x="2063767" y="1106283"/>
              </a:lnTo>
              <a:lnTo>
                <a:pt x="2016541" y="1106320"/>
              </a:lnTo>
              <a:lnTo>
                <a:pt x="1958921" y="1106354"/>
              </a:lnTo>
              <a:lnTo>
                <a:pt x="1902601" y="1106376"/>
              </a:lnTo>
              <a:lnTo>
                <a:pt x="1848102" y="1106389"/>
              </a:lnTo>
              <a:lnTo>
                <a:pt x="1795946" y="1106396"/>
              </a:lnTo>
              <a:lnTo>
                <a:pt x="1746114" y="1106397"/>
              </a:lnTo>
              <a:lnTo>
                <a:pt x="1698381" y="1106391"/>
              </a:lnTo>
              <a:lnTo>
                <a:pt x="1652958" y="1106380"/>
              </a:lnTo>
              <a:lnTo>
                <a:pt x="1610057" y="1106366"/>
              </a:lnTo>
              <a:lnTo>
                <a:pt x="1569742" y="1106350"/>
              </a:lnTo>
              <a:lnTo>
                <a:pt x="1496466" y="1106309"/>
              </a:lnTo>
              <a:lnTo>
                <a:pt x="1432731" y="1106266"/>
              </a:lnTo>
              <a:lnTo>
                <a:pt x="1378535" y="1106220"/>
              </a:lnTo>
              <a:lnTo>
                <a:pt x="1333425" y="1106178"/>
              </a:lnTo>
              <a:lnTo>
                <a:pt x="1282077" y="1106120"/>
              </a:lnTo>
              <a:lnTo>
                <a:pt x="1238031" y="1106058"/>
              </a:lnTo>
              <a:lnTo>
                <a:pt x="1226717" y="1106041"/>
              </a:lnTo>
              <a:lnTo>
                <a:pt x="1220319" y="1106298"/>
              </a:lnTo>
              <a:lnTo>
                <a:pt x="1214192" y="1106016"/>
              </a:lnTo>
              <a:lnTo>
                <a:pt x="1208064" y="1105736"/>
              </a:lnTo>
              <a:lnTo>
                <a:pt x="1205380" y="1105007"/>
              </a:lnTo>
              <a:lnTo>
                <a:pt x="1201266" y="1104372"/>
              </a:lnTo>
              <a:lnTo>
                <a:pt x="1197153" y="1103737"/>
              </a:lnTo>
              <a:lnTo>
                <a:pt x="1194891" y="1102910"/>
              </a:lnTo>
              <a:lnTo>
                <a:pt x="1189512" y="1102205"/>
              </a:lnTo>
              <a:lnTo>
                <a:pt x="1144300" y="1098861"/>
              </a:lnTo>
              <a:lnTo>
                <a:pt x="1101622" y="1097569"/>
              </a:lnTo>
              <a:lnTo>
                <a:pt x="1063290" y="1096903"/>
              </a:lnTo>
              <a:lnTo>
                <a:pt x="1020368" y="1096460"/>
              </a:lnTo>
              <a:lnTo>
                <a:pt x="974267" y="1096200"/>
              </a:lnTo>
              <a:lnTo>
                <a:pt x="929832" y="1096073"/>
              </a:lnTo>
              <a:lnTo>
                <a:pt x="887533" y="1096036"/>
              </a:lnTo>
              <a:lnTo>
                <a:pt x="874095" y="1096040"/>
              </a:lnTo>
              <a:lnTo>
                <a:pt x="827150" y="1096096"/>
              </a:lnTo>
              <a:lnTo>
                <a:pt x="783639" y="1096210"/>
              </a:lnTo>
              <a:lnTo>
                <a:pt x="774075" y="1096240"/>
              </a:lnTo>
              <a:lnTo>
                <a:pt x="766474" y="1096272"/>
              </a:lnTo>
              <a:lnTo>
                <a:pt x="759690" y="1096300"/>
              </a:lnTo>
              <a:lnTo>
                <a:pt x="752907" y="1096326"/>
              </a:lnTo>
              <a:lnTo>
                <a:pt x="747717" y="1096352"/>
              </a:lnTo>
              <a:lnTo>
                <a:pt x="742936" y="1096373"/>
              </a:lnTo>
              <a:lnTo>
                <a:pt x="738155" y="1096393"/>
              </a:lnTo>
              <a:lnTo>
                <a:pt x="734512" y="1096410"/>
              </a:lnTo>
              <a:lnTo>
                <a:pt x="731006" y="1096424"/>
              </a:lnTo>
              <a:lnTo>
                <a:pt x="727499" y="1096439"/>
              </a:lnTo>
              <a:lnTo>
                <a:pt x="724709" y="1096449"/>
              </a:lnTo>
              <a:lnTo>
                <a:pt x="721895" y="1096457"/>
              </a:lnTo>
              <a:lnTo>
                <a:pt x="719081" y="1096466"/>
              </a:lnTo>
              <a:lnTo>
                <a:pt x="716111" y="1096471"/>
              </a:lnTo>
              <a:lnTo>
                <a:pt x="714122" y="1096474"/>
              </a:lnTo>
              <a:lnTo>
                <a:pt x="712133" y="1096478"/>
              </a:lnTo>
              <a:lnTo>
                <a:pt x="710929" y="1096210"/>
              </a:lnTo>
              <a:lnTo>
                <a:pt x="709960" y="1096481"/>
              </a:lnTo>
              <a:lnTo>
                <a:pt x="708992" y="1096753"/>
              </a:lnTo>
              <a:lnTo>
                <a:pt x="708335" y="1097474"/>
              </a:lnTo>
              <a:lnTo>
                <a:pt x="708311" y="1098102"/>
              </a:lnTo>
              <a:lnTo>
                <a:pt x="708288" y="1098731"/>
              </a:lnTo>
              <a:lnTo>
                <a:pt x="709097" y="1099283"/>
              </a:lnTo>
              <a:lnTo>
                <a:pt x="709820" y="1100254"/>
              </a:lnTo>
              <a:lnTo>
                <a:pt x="710543" y="1101225"/>
              </a:lnTo>
              <a:lnTo>
                <a:pt x="711407" y="1102679"/>
              </a:lnTo>
              <a:lnTo>
                <a:pt x="712651" y="1103926"/>
              </a:lnTo>
              <a:lnTo>
                <a:pt x="723649" y="1110961"/>
              </a:lnTo>
              <a:lnTo>
                <a:pt x="726005" y="1111898"/>
              </a:lnTo>
              <a:lnTo>
                <a:pt x="726771" y="1112692"/>
              </a:lnTo>
              <a:lnTo>
                <a:pt x="731420" y="1113351"/>
              </a:lnTo>
              <a:lnTo>
                <a:pt x="736068" y="1114010"/>
              </a:lnTo>
              <a:lnTo>
                <a:pt x="780434" y="1115630"/>
              </a:lnTo>
              <a:lnTo>
                <a:pt x="826022" y="1116048"/>
              </a:lnTo>
              <a:lnTo>
                <a:pt x="869265" y="1116196"/>
              </a:lnTo>
              <a:lnTo>
                <a:pt x="927295" y="1116268"/>
              </a:lnTo>
              <a:lnTo>
                <a:pt x="1000257" y="1116279"/>
              </a:lnTo>
              <a:lnTo>
                <a:pt x="1043066" y="1116271"/>
              </a:lnTo>
              <a:lnTo>
                <a:pt x="1089922" y="1116251"/>
              </a:lnTo>
              <a:lnTo>
                <a:pt x="1140662" y="1116223"/>
              </a:lnTo>
              <a:lnTo>
                <a:pt x="1195123" y="1116193"/>
              </a:lnTo>
              <a:lnTo>
                <a:pt x="1241588" y="1116218"/>
              </a:lnTo>
              <a:lnTo>
                <a:pt x="1290713" y="1116291"/>
              </a:lnTo>
              <a:lnTo>
                <a:pt x="1342132" y="1116336"/>
              </a:lnTo>
              <a:lnTo>
                <a:pt x="1395479" y="1116276"/>
              </a:lnTo>
              <a:lnTo>
                <a:pt x="1450389" y="1116035"/>
              </a:lnTo>
              <a:lnTo>
                <a:pt x="1497556" y="1115705"/>
              </a:lnTo>
              <a:lnTo>
                <a:pt x="1546258" y="1115300"/>
              </a:lnTo>
              <a:lnTo>
                <a:pt x="1596214" y="1114804"/>
              </a:lnTo>
              <a:lnTo>
                <a:pt x="1647145" y="1114203"/>
              </a:lnTo>
              <a:lnTo>
                <a:pt x="1698770" y="1113483"/>
              </a:lnTo>
              <a:lnTo>
                <a:pt x="1750808" y="1112630"/>
              </a:lnTo>
              <a:lnTo>
                <a:pt x="1803624" y="1111625"/>
              </a:lnTo>
              <a:lnTo>
                <a:pt x="1857513" y="1110475"/>
              </a:lnTo>
              <a:lnTo>
                <a:pt x="1912096" y="1109206"/>
              </a:lnTo>
              <a:lnTo>
                <a:pt x="1966995" y="1107843"/>
              </a:lnTo>
              <a:lnTo>
                <a:pt x="2021829" y="1106412"/>
              </a:lnTo>
              <a:lnTo>
                <a:pt x="2076220" y="1104938"/>
              </a:lnTo>
              <a:lnTo>
                <a:pt x="2130460" y="1103440"/>
              </a:lnTo>
              <a:lnTo>
                <a:pt x="2184910" y="1101900"/>
              </a:lnTo>
              <a:lnTo>
                <a:pt x="2239296" y="1100291"/>
              </a:lnTo>
              <a:lnTo>
                <a:pt x="2293344" y="1098588"/>
              </a:lnTo>
              <a:lnTo>
                <a:pt x="2346779" y="1096764"/>
              </a:lnTo>
              <a:lnTo>
                <a:pt x="2399328" y="1094792"/>
              </a:lnTo>
              <a:lnTo>
                <a:pt x="2451295" y="1092679"/>
              </a:lnTo>
              <a:lnTo>
                <a:pt x="2502959" y="1090448"/>
              </a:lnTo>
              <a:lnTo>
                <a:pt x="2554012" y="1088096"/>
              </a:lnTo>
              <a:lnTo>
                <a:pt x="2604141" y="1085620"/>
              </a:lnTo>
              <a:lnTo>
                <a:pt x="2653038" y="1083016"/>
              </a:lnTo>
              <a:lnTo>
                <a:pt x="2700393" y="1080282"/>
              </a:lnTo>
              <a:lnTo>
                <a:pt x="2755416" y="1076795"/>
              </a:lnTo>
              <a:lnTo>
                <a:pt x="2808801" y="1073088"/>
              </a:lnTo>
              <a:lnTo>
                <a:pt x="2860343" y="1069216"/>
              </a:lnTo>
              <a:lnTo>
                <a:pt x="2909838" y="1065235"/>
              </a:lnTo>
              <a:lnTo>
                <a:pt x="2957083" y="1061198"/>
              </a:lnTo>
              <a:lnTo>
                <a:pt x="3013000" y="1056034"/>
              </a:lnTo>
              <a:lnTo>
                <a:pt x="3065614" y="1050704"/>
              </a:lnTo>
              <a:lnTo>
                <a:pt x="3114921" y="1045279"/>
              </a:lnTo>
              <a:lnTo>
                <a:pt x="3160916" y="1039831"/>
              </a:lnTo>
              <a:lnTo>
                <a:pt x="3203463" y="1034351"/>
              </a:lnTo>
              <a:lnTo>
                <a:pt x="3242609" y="1028810"/>
              </a:lnTo>
              <a:lnTo>
                <a:pt x="3311772" y="1017714"/>
              </a:lnTo>
              <a:lnTo>
                <a:pt x="3368995" y="1006582"/>
              </a:lnTo>
              <a:lnTo>
                <a:pt x="3415357" y="995742"/>
              </a:lnTo>
              <a:lnTo>
                <a:pt x="3466071" y="980767"/>
              </a:lnTo>
              <a:lnTo>
                <a:pt x="3509775" y="961853"/>
              </a:lnTo>
              <a:lnTo>
                <a:pt x="3542818" y="935868"/>
              </a:lnTo>
              <a:lnTo>
                <a:pt x="3544868" y="930928"/>
              </a:lnTo>
              <a:lnTo>
                <a:pt x="3547453" y="926790"/>
              </a:lnTo>
              <a:lnTo>
                <a:pt x="3550038" y="922653"/>
              </a:lnTo>
              <a:lnTo>
                <a:pt x="3551039" y="919097"/>
              </a:lnTo>
              <a:lnTo>
                <a:pt x="3553328" y="916145"/>
              </a:lnTo>
              <a:lnTo>
                <a:pt x="3573563" y="904995"/>
              </a:lnTo>
              <a:lnTo>
                <a:pt x="3578795" y="904000"/>
              </a:lnTo>
              <a:lnTo>
                <a:pt x="3618163" y="902628"/>
              </a:lnTo>
              <a:lnTo>
                <a:pt x="3625365" y="902605"/>
              </a:lnTo>
              <a:lnTo>
                <a:pt x="3632878" y="902613"/>
              </a:lnTo>
              <a:lnTo>
                <a:pt x="3677258" y="904445"/>
              </a:lnTo>
              <a:lnTo>
                <a:pt x="3719501" y="908392"/>
              </a:lnTo>
              <a:lnTo>
                <a:pt x="3765512" y="914391"/>
              </a:lnTo>
              <a:lnTo>
                <a:pt x="3813805" y="922131"/>
              </a:lnTo>
              <a:lnTo>
                <a:pt x="3825919" y="924114"/>
              </a:lnTo>
              <a:lnTo>
                <a:pt x="3837984" y="925994"/>
              </a:lnTo>
              <a:lnTo>
                <a:pt x="3850040" y="927826"/>
              </a:lnTo>
              <a:lnTo>
                <a:pt x="3861954" y="929641"/>
              </a:lnTo>
              <a:lnTo>
                <a:pt x="3873595" y="931471"/>
              </a:lnTo>
              <a:lnTo>
                <a:pt x="3884959" y="933352"/>
              </a:lnTo>
              <a:lnTo>
                <a:pt x="3896107" y="935257"/>
              </a:lnTo>
              <a:lnTo>
                <a:pt x="3907000" y="937126"/>
              </a:lnTo>
              <a:lnTo>
                <a:pt x="3917603" y="938898"/>
              </a:lnTo>
              <a:lnTo>
                <a:pt x="3957158" y="945097"/>
              </a:lnTo>
              <a:lnTo>
                <a:pt x="3975111" y="947566"/>
              </a:lnTo>
              <a:lnTo>
                <a:pt x="3983053" y="948646"/>
              </a:lnTo>
              <a:lnTo>
                <a:pt x="3989383" y="949627"/>
              </a:lnTo>
              <a:lnTo>
                <a:pt x="3996440" y="950870"/>
              </a:lnTo>
              <a:lnTo>
                <a:pt x="4001768" y="951795"/>
              </a:lnTo>
              <a:lnTo>
                <a:pt x="3999499" y="952554"/>
              </a:lnTo>
              <a:lnTo>
                <a:pt x="3997230" y="953313"/>
              </a:lnTo>
              <a:lnTo>
                <a:pt x="3990149" y="953793"/>
              </a:lnTo>
              <a:lnTo>
                <a:pt x="3950001" y="954626"/>
              </a:lnTo>
              <a:lnTo>
                <a:pt x="3889881" y="954960"/>
              </a:lnTo>
              <a:lnTo>
                <a:pt x="3833961" y="955006"/>
              </a:lnTo>
              <a:lnTo>
                <a:pt x="3801371" y="955000"/>
              </a:lnTo>
              <a:lnTo>
                <a:pt x="3765533" y="955015"/>
              </a:lnTo>
              <a:lnTo>
                <a:pt x="3726503" y="955032"/>
              </a:lnTo>
              <a:lnTo>
                <a:pt x="3684596" y="954986"/>
              </a:lnTo>
              <a:lnTo>
                <a:pt x="3640127" y="954808"/>
              </a:lnTo>
              <a:lnTo>
                <a:pt x="3592672" y="954497"/>
              </a:lnTo>
              <a:lnTo>
                <a:pt x="3542233" y="954084"/>
              </a:lnTo>
              <a:lnTo>
                <a:pt x="3489762" y="953549"/>
              </a:lnTo>
              <a:lnTo>
                <a:pt x="3436214" y="952872"/>
              </a:lnTo>
              <a:lnTo>
                <a:pt x="3381154" y="952046"/>
              </a:lnTo>
              <a:lnTo>
                <a:pt x="3324303" y="951083"/>
              </a:lnTo>
              <a:lnTo>
                <a:pt x="3266847" y="949989"/>
              </a:lnTo>
              <a:lnTo>
                <a:pt x="3209974" y="948773"/>
              </a:lnTo>
              <a:lnTo>
                <a:pt x="3153482" y="947464"/>
              </a:lnTo>
              <a:lnTo>
                <a:pt x="3096911" y="946048"/>
              </a:lnTo>
              <a:lnTo>
                <a:pt x="3041057" y="944469"/>
              </a:lnTo>
              <a:lnTo>
                <a:pt x="2986720" y="942671"/>
              </a:lnTo>
              <a:lnTo>
                <a:pt x="2933759" y="940569"/>
              </a:lnTo>
              <a:lnTo>
                <a:pt x="2881866" y="938218"/>
              </a:lnTo>
              <a:lnTo>
                <a:pt x="2831586" y="935766"/>
              </a:lnTo>
              <a:lnTo>
                <a:pt x="2783461" y="933363"/>
              </a:lnTo>
              <a:lnTo>
                <a:pt x="2737344" y="930996"/>
              </a:lnTo>
              <a:lnTo>
                <a:pt x="2693042" y="928602"/>
              </a:lnTo>
              <a:lnTo>
                <a:pt x="2651032" y="926257"/>
              </a:lnTo>
              <a:lnTo>
                <a:pt x="2611789" y="924035"/>
              </a:lnTo>
              <a:lnTo>
                <a:pt x="2541628" y="919929"/>
              </a:lnTo>
              <a:lnTo>
                <a:pt x="2481852" y="916283"/>
              </a:lnTo>
              <a:lnTo>
                <a:pt x="2432329" y="913202"/>
              </a:lnTo>
              <a:lnTo>
                <a:pt x="2393250" y="910636"/>
              </a:lnTo>
              <a:lnTo>
                <a:pt x="2354179" y="907864"/>
              </a:lnTo>
              <a:lnTo>
                <a:pt x="2339204" y="905792"/>
              </a:lnTo>
              <a:lnTo>
                <a:pt x="2340832" y="904479"/>
              </a:lnTo>
              <a:lnTo>
                <a:pt x="2385656" y="900362"/>
              </a:lnTo>
              <a:lnTo>
                <a:pt x="2438910" y="897507"/>
              </a:lnTo>
              <a:lnTo>
                <a:pt x="2484508" y="895666"/>
              </a:lnTo>
              <a:lnTo>
                <a:pt x="2537903" y="893939"/>
              </a:lnTo>
              <a:lnTo>
                <a:pt x="2567419" y="892992"/>
              </a:lnTo>
              <a:lnTo>
                <a:pt x="2598953" y="891934"/>
              </a:lnTo>
              <a:lnTo>
                <a:pt x="2632483" y="890802"/>
              </a:lnTo>
              <a:lnTo>
                <a:pt x="2667657" y="889652"/>
              </a:lnTo>
              <a:lnTo>
                <a:pt x="2742009" y="887463"/>
              </a:lnTo>
              <a:lnTo>
                <a:pt x="2781422" y="886397"/>
              </a:lnTo>
              <a:lnTo>
                <a:pt x="2822010" y="885367"/>
              </a:lnTo>
              <a:lnTo>
                <a:pt x="2863417" y="884400"/>
              </a:lnTo>
              <a:lnTo>
                <a:pt x="2905847" y="883496"/>
              </a:lnTo>
              <a:lnTo>
                <a:pt x="2949389" y="882644"/>
              </a:lnTo>
              <a:lnTo>
                <a:pt x="2993520" y="881850"/>
              </a:lnTo>
              <a:lnTo>
                <a:pt x="3037714" y="881119"/>
              </a:lnTo>
              <a:lnTo>
                <a:pt x="3082067" y="880456"/>
              </a:lnTo>
              <a:lnTo>
                <a:pt x="3126781" y="879856"/>
              </a:lnTo>
              <a:lnTo>
                <a:pt x="3171488" y="879314"/>
              </a:lnTo>
              <a:lnTo>
                <a:pt x="3215817" y="878826"/>
              </a:lnTo>
              <a:lnTo>
                <a:pt x="3259936" y="878434"/>
              </a:lnTo>
              <a:lnTo>
                <a:pt x="3303953" y="878125"/>
              </a:lnTo>
              <a:lnTo>
                <a:pt x="3347412" y="877815"/>
              </a:lnTo>
              <a:lnTo>
                <a:pt x="3389858" y="877417"/>
              </a:lnTo>
              <a:lnTo>
                <a:pt x="3431424" y="876936"/>
              </a:lnTo>
              <a:lnTo>
                <a:pt x="3472270" y="876407"/>
              </a:lnTo>
              <a:lnTo>
                <a:pt x="3511972" y="875797"/>
              </a:lnTo>
              <a:lnTo>
                <a:pt x="3550109" y="875069"/>
              </a:lnTo>
              <a:lnTo>
                <a:pt x="3622132" y="873165"/>
              </a:lnTo>
              <a:lnTo>
                <a:pt x="3687568" y="871030"/>
              </a:lnTo>
              <a:lnTo>
                <a:pt x="3745699" y="868902"/>
              </a:lnTo>
              <a:lnTo>
                <a:pt x="3795127" y="866833"/>
              </a:lnTo>
              <a:lnTo>
                <a:pt x="3834200" y="864854"/>
              </a:lnTo>
              <a:lnTo>
                <a:pt x="3849942" y="863968"/>
              </a:lnTo>
              <a:lnTo>
                <a:pt x="3862965" y="863271"/>
              </a:lnTo>
              <a:lnTo>
                <a:pt x="3878456" y="862507"/>
              </a:lnTo>
              <a:lnTo>
                <a:pt x="3886404" y="861540"/>
              </a:lnTo>
              <a:lnTo>
                <a:pt x="3888067" y="862251"/>
              </a:lnTo>
              <a:lnTo>
                <a:pt x="3850174" y="871647"/>
              </a:lnTo>
              <a:lnTo>
                <a:pt x="3797485" y="879606"/>
              </a:lnTo>
              <a:lnTo>
                <a:pt x="3750099" y="886106"/>
              </a:lnTo>
              <a:lnTo>
                <a:pt x="3696202" y="892860"/>
              </a:lnTo>
              <a:lnTo>
                <a:pt x="3635794" y="899868"/>
              </a:lnTo>
              <a:lnTo>
                <a:pt x="3604457" y="903511"/>
              </a:lnTo>
              <a:lnTo>
                <a:pt x="3572441" y="907293"/>
              </a:lnTo>
              <a:lnTo>
                <a:pt x="3539504" y="911195"/>
              </a:lnTo>
              <a:lnTo>
                <a:pt x="3506142" y="915135"/>
              </a:lnTo>
              <a:lnTo>
                <a:pt x="3472852" y="919030"/>
              </a:lnTo>
              <a:lnTo>
                <a:pt x="3439359" y="922887"/>
              </a:lnTo>
              <a:lnTo>
                <a:pt x="3405534" y="926738"/>
              </a:lnTo>
              <a:lnTo>
                <a:pt x="3372092" y="930547"/>
              </a:lnTo>
              <a:lnTo>
                <a:pt x="3308388" y="937916"/>
              </a:lnTo>
              <a:lnTo>
                <a:pt x="3248247" y="944993"/>
              </a:lnTo>
              <a:lnTo>
                <a:pt x="3194076" y="951766"/>
              </a:lnTo>
              <a:lnTo>
                <a:pt x="3145875" y="958234"/>
              </a:lnTo>
              <a:lnTo>
                <a:pt x="3106261" y="963963"/>
              </a:lnTo>
              <a:lnTo>
                <a:pt x="3064292" y="971153"/>
              </a:lnTo>
              <a:lnTo>
                <a:pt x="3047028" y="976165"/>
              </a:lnTo>
              <a:lnTo>
                <a:pt x="3052290" y="977991"/>
              </a:lnTo>
              <a:lnTo>
                <a:pt x="3095866" y="982110"/>
              </a:lnTo>
              <a:lnTo>
                <a:pt x="3143710" y="984604"/>
              </a:lnTo>
              <a:lnTo>
                <a:pt x="3210068" y="987409"/>
              </a:lnTo>
              <a:lnTo>
                <a:pt x="3250651" y="988980"/>
              </a:lnTo>
              <a:lnTo>
                <a:pt x="3296026" y="990660"/>
              </a:lnTo>
              <a:lnTo>
                <a:pt x="3346346" y="992367"/>
              </a:lnTo>
              <a:lnTo>
                <a:pt x="3401760" y="994017"/>
              </a:lnTo>
              <a:lnTo>
                <a:pt x="3450029" y="995244"/>
              </a:lnTo>
              <a:lnTo>
                <a:pt x="3501773" y="996413"/>
              </a:lnTo>
              <a:lnTo>
                <a:pt x="3556623" y="997582"/>
              </a:lnTo>
              <a:lnTo>
                <a:pt x="3614210" y="998811"/>
              </a:lnTo>
              <a:lnTo>
                <a:pt x="3674166" y="1000156"/>
              </a:lnTo>
              <a:lnTo>
                <a:pt x="3718581" y="1001214"/>
              </a:lnTo>
              <a:lnTo>
                <a:pt x="3764549" y="1002340"/>
              </a:lnTo>
              <a:lnTo>
                <a:pt x="3811906" y="1003512"/>
              </a:lnTo>
              <a:lnTo>
                <a:pt x="3860487" y="1004711"/>
              </a:lnTo>
              <a:lnTo>
                <a:pt x="3910128" y="1005915"/>
              </a:lnTo>
              <a:lnTo>
                <a:pt x="3960666" y="1007104"/>
              </a:lnTo>
              <a:lnTo>
                <a:pt x="4011934" y="1008258"/>
              </a:lnTo>
              <a:lnTo>
                <a:pt x="4057582" y="1009228"/>
              </a:lnTo>
              <a:lnTo>
                <a:pt x="4104174" y="1010172"/>
              </a:lnTo>
              <a:lnTo>
                <a:pt x="4151580" y="1011101"/>
              </a:lnTo>
              <a:lnTo>
                <a:pt x="4199671" y="1012028"/>
              </a:lnTo>
              <a:lnTo>
                <a:pt x="4248316" y="1012965"/>
              </a:lnTo>
              <a:lnTo>
                <a:pt x="4297386" y="1013925"/>
              </a:lnTo>
              <a:lnTo>
                <a:pt x="4346750" y="1014920"/>
              </a:lnTo>
              <a:lnTo>
                <a:pt x="4396279" y="1015964"/>
              </a:lnTo>
              <a:lnTo>
                <a:pt x="4446242" y="1017066"/>
              </a:lnTo>
              <a:lnTo>
                <a:pt x="4496878" y="1018219"/>
              </a:lnTo>
              <a:lnTo>
                <a:pt x="4548011" y="1019408"/>
              </a:lnTo>
              <a:lnTo>
                <a:pt x="4599467" y="1020620"/>
              </a:lnTo>
              <a:lnTo>
                <a:pt x="4651071" y="1021840"/>
              </a:lnTo>
              <a:lnTo>
                <a:pt x="4702649" y="1023053"/>
              </a:lnTo>
              <a:lnTo>
                <a:pt x="4754026" y="1024245"/>
              </a:lnTo>
              <a:lnTo>
                <a:pt x="4805027" y="1025401"/>
              </a:lnTo>
              <a:lnTo>
                <a:pt x="4855912" y="1026536"/>
              </a:lnTo>
              <a:lnTo>
                <a:pt x="4906961" y="1027671"/>
              </a:lnTo>
              <a:lnTo>
                <a:pt x="4958023" y="1028798"/>
              </a:lnTo>
              <a:lnTo>
                <a:pt x="5008952" y="1029912"/>
              </a:lnTo>
              <a:lnTo>
                <a:pt x="5059597" y="1031006"/>
              </a:lnTo>
              <a:lnTo>
                <a:pt x="5109812" y="1032073"/>
              </a:lnTo>
              <a:lnTo>
                <a:pt x="5159447" y="1033106"/>
              </a:lnTo>
              <a:lnTo>
                <a:pt x="5208354" y="1034100"/>
              </a:lnTo>
              <a:lnTo>
                <a:pt x="5263697" y="1035208"/>
              </a:lnTo>
              <a:lnTo>
                <a:pt x="5318725" y="1036300"/>
              </a:lnTo>
              <a:lnTo>
                <a:pt x="5373205" y="1037360"/>
              </a:lnTo>
              <a:lnTo>
                <a:pt x="5426900" y="1038371"/>
              </a:lnTo>
              <a:lnTo>
                <a:pt x="5479575" y="1039318"/>
              </a:lnTo>
              <a:lnTo>
                <a:pt x="5530995" y="1040183"/>
              </a:lnTo>
              <a:lnTo>
                <a:pt x="5580926" y="1040951"/>
              </a:lnTo>
              <a:lnTo>
                <a:pt x="5637515" y="1041736"/>
              </a:lnTo>
              <a:lnTo>
                <a:pt x="5692621" y="1042422"/>
              </a:lnTo>
              <a:lnTo>
                <a:pt x="5746126" y="1043005"/>
              </a:lnTo>
              <a:lnTo>
                <a:pt x="5797912" y="1043480"/>
              </a:lnTo>
              <a:lnTo>
                <a:pt x="5847860" y="1043845"/>
              </a:lnTo>
              <a:lnTo>
                <a:pt x="5895853" y="1044094"/>
              </a:lnTo>
              <a:lnTo>
                <a:pt x="5950892" y="1044259"/>
              </a:lnTo>
              <a:lnTo>
                <a:pt x="6003276" y="1044280"/>
              </a:lnTo>
              <a:lnTo>
                <a:pt x="6053019" y="1044133"/>
              </a:lnTo>
              <a:lnTo>
                <a:pt x="6100132" y="1043791"/>
              </a:lnTo>
              <a:lnTo>
                <a:pt x="6144628" y="1043227"/>
              </a:lnTo>
              <a:lnTo>
                <a:pt x="6196449" y="1042207"/>
              </a:lnTo>
              <a:lnTo>
                <a:pt x="6244091" y="1040863"/>
              </a:lnTo>
              <a:lnTo>
                <a:pt x="6287784" y="1039210"/>
              </a:lnTo>
              <a:lnTo>
                <a:pt x="6327760" y="1037263"/>
              </a:lnTo>
              <a:lnTo>
                <a:pt x="6395861" y="1032228"/>
              </a:lnTo>
              <a:lnTo>
                <a:pt x="6450180" y="1026525"/>
              </a:lnTo>
              <a:lnTo>
                <a:pt x="6492745" y="1020707"/>
              </a:lnTo>
              <a:lnTo>
                <a:pt x="6533524" y="1012840"/>
              </a:lnTo>
              <a:lnTo>
                <a:pt x="6548646" y="1005544"/>
              </a:lnTo>
              <a:lnTo>
                <a:pt x="6542024" y="1005142"/>
              </a:lnTo>
              <a:lnTo>
                <a:pt x="6493899" y="1007329"/>
              </a:lnTo>
              <a:lnTo>
                <a:pt x="6440281" y="1012452"/>
              </a:lnTo>
              <a:lnTo>
                <a:pt x="6418709" y="1014760"/>
              </a:lnTo>
              <a:lnTo>
                <a:pt x="6369867" y="1019387"/>
              </a:lnTo>
              <a:lnTo>
                <a:pt x="6313453" y="1024227"/>
              </a:lnTo>
              <a:lnTo>
                <a:pt x="6249981" y="1029165"/>
              </a:lnTo>
              <a:lnTo>
                <a:pt x="6179451" y="1034203"/>
              </a:lnTo>
              <a:lnTo>
                <a:pt x="6141612" y="1036890"/>
              </a:lnTo>
              <a:lnTo>
                <a:pt x="6101993" y="1039787"/>
              </a:lnTo>
              <a:lnTo>
                <a:pt x="6060603" y="1042841"/>
              </a:lnTo>
              <a:lnTo>
                <a:pt x="6017605" y="1045916"/>
              </a:lnTo>
              <a:lnTo>
                <a:pt x="5973161" y="1048873"/>
              </a:lnTo>
              <a:lnTo>
                <a:pt x="5927391" y="1051720"/>
              </a:lnTo>
              <a:lnTo>
                <a:pt x="5880182" y="1054516"/>
              </a:lnTo>
              <a:lnTo>
                <a:pt x="5831350" y="1057201"/>
              </a:lnTo>
              <a:lnTo>
                <a:pt x="5780713" y="1059715"/>
              </a:lnTo>
              <a:lnTo>
                <a:pt x="5727986" y="1062053"/>
              </a:lnTo>
              <a:lnTo>
                <a:pt x="5673343" y="1064244"/>
              </a:lnTo>
              <a:lnTo>
                <a:pt x="5617298" y="1066278"/>
              </a:lnTo>
              <a:lnTo>
                <a:pt x="5560358" y="1068143"/>
              </a:lnTo>
              <a:lnTo>
                <a:pt x="5514035" y="1069506"/>
              </a:lnTo>
              <a:lnTo>
                <a:pt x="5466819" y="1070759"/>
              </a:lnTo>
              <a:lnTo>
                <a:pt x="5419029" y="1071909"/>
              </a:lnTo>
              <a:lnTo>
                <a:pt x="5370980" y="1072963"/>
              </a:lnTo>
              <a:lnTo>
                <a:pt x="5322990" y="1073931"/>
              </a:lnTo>
              <a:lnTo>
                <a:pt x="5274787" y="1074803"/>
              </a:lnTo>
              <a:lnTo>
                <a:pt x="5226161" y="1075574"/>
              </a:lnTo>
              <a:lnTo>
                <a:pt x="5177517" y="1076258"/>
              </a:lnTo>
              <a:lnTo>
                <a:pt x="5129265" y="1076867"/>
              </a:lnTo>
              <a:lnTo>
                <a:pt x="5081810" y="1077416"/>
              </a:lnTo>
              <a:lnTo>
                <a:pt x="5023273" y="1077963"/>
              </a:lnTo>
              <a:lnTo>
                <a:pt x="4965360" y="1078367"/>
              </a:lnTo>
              <a:lnTo>
                <a:pt x="4908668" y="1078730"/>
              </a:lnTo>
              <a:lnTo>
                <a:pt x="4853792" y="1079156"/>
              </a:lnTo>
              <a:lnTo>
                <a:pt x="4800674" y="1079676"/>
              </a:lnTo>
              <a:lnTo>
                <a:pt x="4749067" y="1080233"/>
              </a:lnTo>
              <a:lnTo>
                <a:pt x="4699292" y="1080800"/>
              </a:lnTo>
              <a:lnTo>
                <a:pt x="4651668" y="1081349"/>
              </a:lnTo>
              <a:lnTo>
                <a:pt x="4606187" y="1081842"/>
              </a:lnTo>
              <a:lnTo>
                <a:pt x="4562707" y="1082306"/>
              </a:lnTo>
              <a:lnTo>
                <a:pt x="4521358" y="1082802"/>
              </a:lnTo>
              <a:lnTo>
                <a:pt x="4482266" y="1083395"/>
              </a:lnTo>
              <a:lnTo>
                <a:pt x="4410841" y="1084939"/>
              </a:lnTo>
              <a:lnTo>
                <a:pt x="4348298" y="1086639"/>
              </a:lnTo>
              <a:lnTo>
                <a:pt x="4294946" y="1088316"/>
              </a:lnTo>
              <a:lnTo>
                <a:pt x="4249958" y="1089931"/>
              </a:lnTo>
              <a:lnTo>
                <a:pt x="4197151" y="1092064"/>
              </a:lnTo>
              <a:lnTo>
                <a:pt x="4149818" y="1094271"/>
              </a:lnTo>
              <a:lnTo>
                <a:pt x="4141284" y="1094709"/>
              </a:lnTo>
              <a:lnTo>
                <a:pt x="4130437" y="1095263"/>
              </a:lnTo>
              <a:lnTo>
                <a:pt x="4121035" y="1095947"/>
              </a:lnTo>
              <a:lnTo>
                <a:pt x="4117825" y="1096017"/>
              </a:lnTo>
              <a:lnTo>
                <a:pt x="4114616" y="1096087"/>
              </a:lnTo>
              <a:lnTo>
                <a:pt x="4115198" y="1096122"/>
              </a:lnTo>
              <a:lnTo>
                <a:pt x="4122026" y="1095127"/>
              </a:lnTo>
              <a:lnTo>
                <a:pt x="4128084" y="1094219"/>
              </a:lnTo>
              <a:lnTo>
                <a:pt x="4136125" y="1093028"/>
              </a:lnTo>
              <a:lnTo>
                <a:pt x="4190227" y="1086572"/>
              </a:lnTo>
              <a:lnTo>
                <a:pt x="4209479" y="1084517"/>
              </a:lnTo>
              <a:lnTo>
                <a:pt x="4231521" y="1082121"/>
              </a:lnTo>
              <a:lnTo>
                <a:pt x="4256382" y="1079372"/>
              </a:lnTo>
              <a:lnTo>
                <a:pt x="4283908" y="1076317"/>
              </a:lnTo>
              <a:lnTo>
                <a:pt x="4314147" y="1072948"/>
              </a:lnTo>
              <a:lnTo>
                <a:pt x="4347148" y="1069254"/>
              </a:lnTo>
              <a:lnTo>
                <a:pt x="4382892" y="1065254"/>
              </a:lnTo>
              <a:lnTo>
                <a:pt x="4421364" y="1060946"/>
              </a:lnTo>
              <a:lnTo>
                <a:pt x="4462618" y="1056290"/>
              </a:lnTo>
              <a:lnTo>
                <a:pt x="4506708" y="1051246"/>
              </a:lnTo>
              <a:lnTo>
                <a:pt x="4553999" y="1045756"/>
              </a:lnTo>
              <a:lnTo>
                <a:pt x="4604345" y="1039857"/>
              </a:lnTo>
              <a:lnTo>
                <a:pt x="4657034" y="1033654"/>
              </a:lnTo>
              <a:lnTo>
                <a:pt x="4711354" y="1027248"/>
              </a:lnTo>
              <a:lnTo>
                <a:pt x="4756151" y="1021968"/>
              </a:lnTo>
              <a:lnTo>
                <a:pt x="4802424" y="1016508"/>
              </a:lnTo>
              <a:lnTo>
                <a:pt x="4849753" y="1010911"/>
              </a:lnTo>
              <a:lnTo>
                <a:pt x="4897717" y="1005220"/>
              </a:lnTo>
              <a:lnTo>
                <a:pt x="4945893" y="999475"/>
              </a:lnTo>
              <a:lnTo>
                <a:pt x="4994717" y="993606"/>
              </a:lnTo>
              <a:lnTo>
                <a:pt x="5044468" y="987584"/>
              </a:lnTo>
              <a:lnTo>
                <a:pt x="5094497" y="981517"/>
              </a:lnTo>
              <a:lnTo>
                <a:pt x="5144153" y="975512"/>
              </a:lnTo>
              <a:lnTo>
                <a:pt x="5192787" y="969675"/>
              </a:lnTo>
              <a:lnTo>
                <a:pt x="5240679" y="964004"/>
              </a:lnTo>
              <a:lnTo>
                <a:pt x="5288263" y="958427"/>
              </a:lnTo>
              <a:lnTo>
                <a:pt x="5335117" y="952949"/>
              </a:lnTo>
              <a:lnTo>
                <a:pt x="5380822" y="947574"/>
              </a:lnTo>
              <a:lnTo>
                <a:pt x="5424956" y="942308"/>
              </a:lnTo>
              <a:lnTo>
                <a:pt x="5478265" y="935847"/>
              </a:lnTo>
              <a:lnTo>
                <a:pt x="5529762" y="929531"/>
              </a:lnTo>
              <a:lnTo>
                <a:pt x="5578837" y="923419"/>
              </a:lnTo>
              <a:lnTo>
                <a:pt x="5624881" y="917570"/>
              </a:lnTo>
              <a:lnTo>
                <a:pt x="5667841" y="911995"/>
              </a:lnTo>
              <a:lnTo>
                <a:pt x="5708004" y="906665"/>
              </a:lnTo>
              <a:lnTo>
                <a:pt x="5779560" y="896731"/>
              </a:lnTo>
              <a:lnTo>
                <a:pt x="5838825" y="887806"/>
              </a:lnTo>
              <a:lnTo>
                <a:pt x="5886940" y="879765"/>
              </a:lnTo>
              <a:lnTo>
                <a:pt x="5924404" y="872436"/>
              </a:lnTo>
              <a:lnTo>
                <a:pt x="5963518" y="863180"/>
              </a:lnTo>
              <a:lnTo>
                <a:pt x="5989181" y="853506"/>
              </a:lnTo>
              <a:lnTo>
                <a:pt x="5987612" y="851572"/>
              </a:lnTo>
              <a:lnTo>
                <a:pt x="5940629" y="846178"/>
              </a:lnTo>
              <a:lnTo>
                <a:pt x="5893098" y="845362"/>
              </a:lnTo>
              <a:lnTo>
                <a:pt x="5852366" y="845200"/>
              </a:lnTo>
              <a:lnTo>
                <a:pt x="5828886" y="845220"/>
              </a:lnTo>
              <a:lnTo>
                <a:pt x="5802720" y="845270"/>
              </a:lnTo>
              <a:lnTo>
                <a:pt x="5773819" y="845355"/>
              </a:lnTo>
              <a:lnTo>
                <a:pt x="5742404" y="845485"/>
              </a:lnTo>
              <a:lnTo>
                <a:pt x="5708417" y="845642"/>
              </a:lnTo>
              <a:lnTo>
                <a:pt x="5671799" y="845806"/>
              </a:lnTo>
              <a:lnTo>
                <a:pt x="5632579" y="845980"/>
              </a:lnTo>
              <a:lnTo>
                <a:pt x="5590774" y="846172"/>
              </a:lnTo>
              <a:lnTo>
                <a:pt x="5546307" y="846371"/>
              </a:lnTo>
              <a:lnTo>
                <a:pt x="5499102" y="846564"/>
              </a:lnTo>
              <a:lnTo>
                <a:pt x="5448842" y="846830"/>
              </a:lnTo>
              <a:lnTo>
                <a:pt x="5395665" y="847147"/>
              </a:lnTo>
              <a:lnTo>
                <a:pt x="5340184" y="847358"/>
              </a:lnTo>
              <a:lnTo>
                <a:pt x="5283011" y="847305"/>
              </a:lnTo>
              <a:lnTo>
                <a:pt x="5235679" y="847014"/>
              </a:lnTo>
              <a:lnTo>
                <a:pt x="5186661" y="846554"/>
              </a:lnTo>
              <a:lnTo>
                <a:pt x="5136665" y="845976"/>
              </a:lnTo>
              <a:lnTo>
                <a:pt x="5086400" y="845331"/>
              </a:lnTo>
              <a:lnTo>
                <a:pt x="5036574" y="844670"/>
              </a:lnTo>
              <a:lnTo>
                <a:pt x="4986819" y="843974"/>
              </a:lnTo>
              <a:lnTo>
                <a:pt x="4936662" y="843208"/>
              </a:lnTo>
              <a:lnTo>
                <a:pt x="4886657" y="842403"/>
              </a:lnTo>
              <a:lnTo>
                <a:pt x="4837354" y="841589"/>
              </a:lnTo>
              <a:lnTo>
                <a:pt x="4789306" y="840796"/>
              </a:lnTo>
              <a:lnTo>
                <a:pt x="4730544" y="839819"/>
              </a:lnTo>
              <a:lnTo>
                <a:pt x="4672895" y="838835"/>
              </a:lnTo>
              <a:lnTo>
                <a:pt x="4617177" y="837872"/>
              </a:lnTo>
              <a:lnTo>
                <a:pt x="4564208" y="836962"/>
              </a:lnTo>
              <a:lnTo>
                <a:pt x="4513927" y="836103"/>
              </a:lnTo>
              <a:lnTo>
                <a:pt x="4465990" y="835283"/>
              </a:lnTo>
              <a:lnTo>
                <a:pt x="4420794" y="834511"/>
              </a:lnTo>
              <a:lnTo>
                <a:pt x="4378737" y="833797"/>
              </a:lnTo>
              <a:lnTo>
                <a:pt x="4339939" y="833144"/>
              </a:lnTo>
              <a:lnTo>
                <a:pt x="4271363" y="832001"/>
              </a:lnTo>
              <a:lnTo>
                <a:pt x="4214199" y="831067"/>
              </a:lnTo>
              <a:lnTo>
                <a:pt x="4168445" y="830343"/>
              </a:lnTo>
              <a:lnTo>
                <a:pt x="4149782" y="830043"/>
              </a:lnTo>
              <a:lnTo>
                <a:pt x="4110470" y="829393"/>
              </a:lnTo>
              <a:lnTo>
                <a:pt x="4095361" y="829051"/>
              </a:lnTo>
              <a:lnTo>
                <a:pt x="4096531" y="828969"/>
              </a:lnTo>
              <a:lnTo>
                <a:pt x="4103107" y="828906"/>
              </a:lnTo>
              <a:lnTo>
                <a:pt x="4109324" y="828871"/>
              </a:lnTo>
              <a:lnTo>
                <a:pt x="4118045" y="828857"/>
              </a:lnTo>
              <a:lnTo>
                <a:pt x="4129168" y="828856"/>
              </a:lnTo>
              <a:lnTo>
                <a:pt x="4142593" y="828862"/>
              </a:lnTo>
              <a:lnTo>
                <a:pt x="4158361" y="828877"/>
              </a:lnTo>
              <a:lnTo>
                <a:pt x="4176505" y="828903"/>
              </a:lnTo>
              <a:lnTo>
                <a:pt x="4196904" y="828936"/>
              </a:lnTo>
              <a:lnTo>
                <a:pt x="4219437" y="828971"/>
              </a:lnTo>
              <a:lnTo>
                <a:pt x="4244215" y="829008"/>
              </a:lnTo>
              <a:lnTo>
                <a:pt x="4271254" y="829050"/>
              </a:lnTo>
              <a:lnTo>
                <a:pt x="4300293" y="829094"/>
              </a:lnTo>
              <a:lnTo>
                <a:pt x="4363612" y="829179"/>
              </a:lnTo>
              <a:lnTo>
                <a:pt x="4434171" y="829264"/>
              </a:lnTo>
              <a:lnTo>
                <a:pt x="4511381" y="829342"/>
              </a:lnTo>
              <a:lnTo>
                <a:pt x="4552581" y="829378"/>
              </a:lnTo>
              <a:lnTo>
                <a:pt x="4595242" y="829412"/>
              </a:lnTo>
              <a:lnTo>
                <a:pt x="4639085" y="829443"/>
              </a:lnTo>
              <a:lnTo>
                <a:pt x="4684518" y="829472"/>
              </a:lnTo>
              <a:lnTo>
                <a:pt x="4731530" y="829499"/>
              </a:lnTo>
              <a:lnTo>
                <a:pt x="4779211" y="829523"/>
              </a:lnTo>
              <a:lnTo>
                <a:pt x="4826651" y="829545"/>
              </a:lnTo>
              <a:lnTo>
                <a:pt x="4874045" y="829564"/>
              </a:lnTo>
              <a:lnTo>
                <a:pt x="4921731" y="829581"/>
              </a:lnTo>
              <a:lnTo>
                <a:pt x="4969021" y="829597"/>
              </a:lnTo>
              <a:lnTo>
                <a:pt x="5015222" y="829610"/>
              </a:lnTo>
              <a:lnTo>
                <a:pt x="5060603" y="829622"/>
              </a:lnTo>
              <a:lnTo>
                <a:pt x="5105383" y="829631"/>
              </a:lnTo>
              <a:lnTo>
                <a:pt x="5148794" y="829639"/>
              </a:lnTo>
              <a:lnTo>
                <a:pt x="5190067" y="829647"/>
              </a:lnTo>
              <a:lnTo>
                <a:pt x="5229260" y="829652"/>
              </a:lnTo>
              <a:lnTo>
                <a:pt x="5302003" y="829660"/>
              </a:lnTo>
              <a:lnTo>
                <a:pt x="5365257" y="829663"/>
              </a:lnTo>
              <a:lnTo>
                <a:pt x="5419024" y="829664"/>
              </a:lnTo>
              <a:lnTo>
                <a:pt x="5441512" y="829664"/>
              </a:lnTo>
              <a:lnTo>
                <a:pt x="5460856" y="829588"/>
              </a:lnTo>
              <a:lnTo>
                <a:pt x="5477264" y="829460"/>
              </a:lnTo>
              <a:lnTo>
                <a:pt x="5490752" y="829433"/>
              </a:lnTo>
              <a:lnTo>
                <a:pt x="5501334" y="829660"/>
              </a:lnTo>
              <a:lnTo>
                <a:pt x="5513512" y="830198"/>
              </a:lnTo>
              <a:lnTo>
                <a:pt x="5517661" y="831367"/>
              </a:lnTo>
              <a:lnTo>
                <a:pt x="5514578" y="832893"/>
              </a:lnTo>
              <a:lnTo>
                <a:pt x="5469016" y="840618"/>
              </a:lnTo>
              <a:lnTo>
                <a:pt x="5414538" y="846695"/>
              </a:lnTo>
              <a:lnTo>
                <a:pt x="5368745" y="851041"/>
              </a:lnTo>
              <a:lnTo>
                <a:pt x="5343336" y="853357"/>
              </a:lnTo>
              <a:lnTo>
                <a:pt x="5316889" y="855834"/>
              </a:lnTo>
              <a:lnTo>
                <a:pt x="5289327" y="858440"/>
              </a:lnTo>
              <a:lnTo>
                <a:pt x="5260463" y="861163"/>
              </a:lnTo>
              <a:lnTo>
                <a:pt x="5230613" y="864085"/>
              </a:lnTo>
              <a:lnTo>
                <a:pt x="5168788" y="870823"/>
              </a:lnTo>
              <a:lnTo>
                <a:pt x="5103852" y="878654"/>
              </a:lnTo>
              <a:lnTo>
                <a:pt x="5037537" y="887099"/>
              </a:lnTo>
              <a:lnTo>
                <a:pt x="4969842" y="896159"/>
              </a:lnTo>
              <a:lnTo>
                <a:pt x="4903235" y="906047"/>
              </a:lnTo>
              <a:lnTo>
                <a:pt x="4837717" y="916763"/>
              </a:lnTo>
              <a:lnTo>
                <a:pt x="4774703" y="927717"/>
              </a:lnTo>
              <a:lnTo>
                <a:pt x="4714194" y="938908"/>
              </a:lnTo>
              <a:lnTo>
                <a:pt x="4656319" y="950519"/>
              </a:lnTo>
              <a:lnTo>
                <a:pt x="4601079" y="962551"/>
              </a:lnTo>
              <a:lnTo>
                <a:pt x="4549572" y="974986"/>
              </a:lnTo>
              <a:lnTo>
                <a:pt x="4501800" y="987823"/>
              </a:lnTo>
              <a:lnTo>
                <a:pt x="4457080" y="1000985"/>
              </a:lnTo>
              <a:lnTo>
                <a:pt x="4415413" y="1014473"/>
              </a:lnTo>
              <a:lnTo>
                <a:pt x="4375939" y="1028229"/>
              </a:lnTo>
              <a:lnTo>
                <a:pt x="4338660" y="1042255"/>
              </a:lnTo>
              <a:lnTo>
                <a:pt x="4285982" y="1062666"/>
              </a:lnTo>
              <a:lnTo>
                <a:pt x="4238301" y="1082744"/>
              </a:lnTo>
              <a:lnTo>
                <a:pt x="4196496" y="1102620"/>
              </a:lnTo>
              <a:lnTo>
                <a:pt x="4159190" y="1120780"/>
              </a:lnTo>
              <a:lnTo>
                <a:pt x="4147877" y="1126221"/>
              </a:lnTo>
              <a:lnTo>
                <a:pt x="4137110" y="1131229"/>
              </a:lnTo>
              <a:lnTo>
                <a:pt x="4126885" y="1135871"/>
              </a:lnTo>
              <a:lnTo>
                <a:pt x="4117301" y="1140209"/>
              </a:lnTo>
              <a:lnTo>
                <a:pt x="4108455" y="1144304"/>
              </a:lnTo>
              <a:lnTo>
                <a:pt x="4100424" y="1148172"/>
              </a:lnTo>
              <a:lnTo>
                <a:pt x="4093138" y="1151780"/>
              </a:lnTo>
              <a:lnTo>
                <a:pt x="4086480" y="1155118"/>
              </a:lnTo>
              <a:lnTo>
                <a:pt x="4080334" y="1158172"/>
              </a:lnTo>
              <a:lnTo>
                <a:pt x="4072429" y="1162052"/>
              </a:lnTo>
              <a:lnTo>
                <a:pt x="4066179" y="1164811"/>
              </a:lnTo>
              <a:lnTo>
                <a:pt x="4061023" y="1167577"/>
              </a:lnTo>
              <a:lnTo>
                <a:pt x="4055867" y="1170344"/>
              </a:lnTo>
              <a:lnTo>
                <a:pt x="4050683" y="1172760"/>
              </a:lnTo>
              <a:lnTo>
                <a:pt x="4049399" y="1174770"/>
              </a:lnTo>
              <a:lnTo>
                <a:pt x="4048116" y="1176780"/>
              </a:lnTo>
              <a:lnTo>
                <a:pt x="4047858" y="1177806"/>
              </a:lnTo>
              <a:lnTo>
                <a:pt x="4053320" y="1179636"/>
              </a:lnTo>
              <a:lnTo>
                <a:pt x="4094112" y="1187434"/>
              </a:lnTo>
              <a:lnTo>
                <a:pt x="4142906" y="1193069"/>
              </a:lnTo>
              <a:lnTo>
                <a:pt x="4188453" y="1197485"/>
              </a:lnTo>
              <a:lnTo>
                <a:pt x="4215586" y="1200018"/>
              </a:lnTo>
              <a:lnTo>
                <a:pt x="4246527" y="1202987"/>
              </a:lnTo>
              <a:lnTo>
                <a:pt x="4281333" y="1206439"/>
              </a:lnTo>
              <a:lnTo>
                <a:pt x="4319685" y="1210287"/>
              </a:lnTo>
              <a:lnTo>
                <a:pt x="4361693" y="1214487"/>
              </a:lnTo>
              <a:lnTo>
                <a:pt x="4407464" y="1218997"/>
              </a:lnTo>
              <a:lnTo>
                <a:pt x="4457001" y="1223803"/>
              </a:lnTo>
              <a:lnTo>
                <a:pt x="4510254" y="1228929"/>
              </a:lnTo>
              <a:lnTo>
                <a:pt x="4567259" y="1234388"/>
              </a:lnTo>
              <a:lnTo>
                <a:pt x="4628050" y="1240194"/>
              </a:lnTo>
              <a:lnTo>
                <a:pt x="4670857" y="1244286"/>
              </a:lnTo>
              <a:lnTo>
                <a:pt x="4715547" y="1248563"/>
              </a:lnTo>
              <a:lnTo>
                <a:pt x="4761914" y="1252993"/>
              </a:lnTo>
              <a:lnTo>
                <a:pt x="4809754" y="1257541"/>
              </a:lnTo>
              <a:lnTo>
                <a:pt x="4858862" y="1262174"/>
              </a:lnTo>
              <a:lnTo>
                <a:pt x="4909033" y="1266859"/>
              </a:lnTo>
              <a:lnTo>
                <a:pt x="4960701" y="1271677"/>
              </a:lnTo>
              <a:lnTo>
                <a:pt x="5014118" y="1276671"/>
              </a:lnTo>
              <a:lnTo>
                <a:pt x="5068802" y="1281751"/>
              </a:lnTo>
              <a:lnTo>
                <a:pt x="5124274" y="1286825"/>
              </a:lnTo>
              <a:lnTo>
                <a:pt x="5180054" y="1291800"/>
              </a:lnTo>
              <a:lnTo>
                <a:pt x="5235660" y="1296586"/>
              </a:lnTo>
              <a:lnTo>
                <a:pt x="5283447" y="1300541"/>
              </a:lnTo>
              <a:lnTo>
                <a:pt x="5331760" y="1304417"/>
              </a:lnTo>
              <a:lnTo>
                <a:pt x="5380373" y="1308219"/>
              </a:lnTo>
              <a:lnTo>
                <a:pt x="5429063" y="1311953"/>
              </a:lnTo>
              <a:lnTo>
                <a:pt x="5477603" y="1315623"/>
              </a:lnTo>
              <a:lnTo>
                <a:pt x="5525772" y="1319234"/>
              </a:lnTo>
              <a:lnTo>
                <a:pt x="5573343" y="1322790"/>
              </a:lnTo>
              <a:lnTo>
                <a:pt x="5628530" y="1326897"/>
              </a:lnTo>
              <a:lnTo>
                <a:pt x="5683703" y="1330955"/>
              </a:lnTo>
              <a:lnTo>
                <a:pt x="5738471" y="1334930"/>
              </a:lnTo>
              <a:lnTo>
                <a:pt x="5792441" y="1338789"/>
              </a:lnTo>
              <a:lnTo>
                <a:pt x="5845224" y="1342497"/>
              </a:lnTo>
              <a:lnTo>
                <a:pt x="5896427" y="1346019"/>
              </a:lnTo>
              <a:lnTo>
                <a:pt x="5946344" y="1349365"/>
              </a:lnTo>
              <a:lnTo>
                <a:pt x="5995349" y="1352565"/>
              </a:lnTo>
              <a:lnTo>
                <a:pt x="6043165" y="1355614"/>
              </a:lnTo>
              <a:lnTo>
                <a:pt x="6089518" y="1358507"/>
              </a:lnTo>
              <a:lnTo>
                <a:pt x="6134134" y="1361241"/>
              </a:lnTo>
              <a:lnTo>
                <a:pt x="6176737" y="1363811"/>
              </a:lnTo>
              <a:lnTo>
                <a:pt x="6237136" y="1367342"/>
              </a:lnTo>
              <a:lnTo>
                <a:pt x="6293690" y="1370501"/>
              </a:lnTo>
              <a:lnTo>
                <a:pt x="6346205" y="1373328"/>
              </a:lnTo>
              <a:lnTo>
                <a:pt x="6394489" y="1375859"/>
              </a:lnTo>
              <a:lnTo>
                <a:pt x="6438330" y="1378111"/>
              </a:lnTo>
              <a:lnTo>
                <a:pt x="6477884" y="1380062"/>
              </a:lnTo>
              <a:lnTo>
                <a:pt x="6545567" y="1382988"/>
              </a:lnTo>
              <a:lnTo>
                <a:pt x="6598106" y="1384523"/>
              </a:lnTo>
              <a:lnTo>
                <a:pt x="6637623" y="1384825"/>
              </a:lnTo>
              <a:lnTo>
                <a:pt x="6653391" y="1384580"/>
              </a:lnTo>
              <a:lnTo>
                <a:pt x="6693979" y="1380326"/>
              </a:lnTo>
              <a:lnTo>
                <a:pt x="6697161" y="1377081"/>
              </a:lnTo>
              <a:lnTo>
                <a:pt x="6694381" y="1374279"/>
              </a:lnTo>
              <a:lnTo>
                <a:pt x="6656692" y="1363179"/>
              </a:lnTo>
              <a:lnTo>
                <a:pt x="6613022" y="1357190"/>
              </a:lnTo>
              <a:lnTo>
                <a:pt x="6555551" y="1351187"/>
              </a:lnTo>
              <a:lnTo>
                <a:pt x="6511223" y="1347580"/>
              </a:lnTo>
              <a:lnTo>
                <a:pt x="6462398" y="1344354"/>
              </a:lnTo>
              <a:lnTo>
                <a:pt x="6410169" y="1341594"/>
              </a:lnTo>
              <a:lnTo>
                <a:pt x="6354536" y="1339298"/>
              </a:lnTo>
              <a:lnTo>
                <a:pt x="6296737" y="1337430"/>
              </a:lnTo>
              <a:lnTo>
                <a:pt x="6236774" y="1335989"/>
              </a:lnTo>
              <a:lnTo>
                <a:pt x="6174786" y="1334885"/>
              </a:lnTo>
              <a:lnTo>
                <a:pt x="6110772" y="1334117"/>
              </a:lnTo>
              <a:lnTo>
                <a:pt x="6043930" y="1333583"/>
              </a:lnTo>
              <a:lnTo>
                <a:pt x="5974262" y="1333282"/>
              </a:lnTo>
              <a:lnTo>
                <a:pt x="5899921" y="1333123"/>
              </a:lnTo>
              <a:lnTo>
                <a:pt x="5860892" y="1333101"/>
              </a:lnTo>
              <a:lnTo>
                <a:pt x="5820908" y="1333106"/>
              </a:lnTo>
              <a:lnTo>
                <a:pt x="5780198" y="1333126"/>
              </a:lnTo>
              <a:lnTo>
                <a:pt x="5738691" y="1333162"/>
              </a:lnTo>
              <a:lnTo>
                <a:pt x="5696309" y="1333220"/>
              </a:lnTo>
              <a:lnTo>
                <a:pt x="5653268" y="1333291"/>
              </a:lnTo>
              <a:lnTo>
                <a:pt x="5609784" y="1333365"/>
              </a:lnTo>
              <a:lnTo>
                <a:pt x="5565653" y="1333483"/>
              </a:lnTo>
              <a:lnTo>
                <a:pt x="5520849" y="1333634"/>
              </a:lnTo>
              <a:lnTo>
                <a:pt x="5475847" y="1333738"/>
              </a:lnTo>
              <a:lnTo>
                <a:pt x="5431125" y="1333713"/>
              </a:lnTo>
              <a:lnTo>
                <a:pt x="5386537" y="1333522"/>
              </a:lnTo>
              <a:lnTo>
                <a:pt x="5341920" y="1333213"/>
              </a:lnTo>
              <a:lnTo>
                <a:pt x="5297725" y="1332835"/>
              </a:lnTo>
              <a:lnTo>
                <a:pt x="5254403" y="1332436"/>
              </a:lnTo>
              <a:lnTo>
                <a:pt x="5211772" y="1332009"/>
              </a:lnTo>
              <a:lnTo>
                <a:pt x="5169693" y="1331536"/>
              </a:lnTo>
              <a:lnTo>
                <a:pt x="5128679" y="1331044"/>
              </a:lnTo>
              <a:lnTo>
                <a:pt x="5089243" y="1330563"/>
              </a:lnTo>
              <a:lnTo>
                <a:pt x="5014496" y="1329616"/>
              </a:lnTo>
              <a:lnTo>
                <a:pt x="4946595" y="1328712"/>
              </a:lnTo>
              <a:lnTo>
                <a:pt x="4915875" y="1328335"/>
              </a:lnTo>
              <a:lnTo>
                <a:pt x="4860484" y="1327643"/>
              </a:lnTo>
              <a:lnTo>
                <a:pt x="4814077" y="1326667"/>
              </a:lnTo>
              <a:lnTo>
                <a:pt x="4762348" y="1324461"/>
              </a:lnTo>
              <a:lnTo>
                <a:pt x="4733671" y="1315948"/>
              </a:lnTo>
              <a:lnTo>
                <a:pt x="4738896" y="1313271"/>
              </a:lnTo>
              <a:lnTo>
                <a:pt x="4791317" y="1301647"/>
              </a:lnTo>
              <a:lnTo>
                <a:pt x="4831707" y="1295663"/>
              </a:lnTo>
              <a:lnTo>
                <a:pt x="4883145" y="1289441"/>
              </a:lnTo>
              <a:lnTo>
                <a:pt x="4945092" y="1282742"/>
              </a:lnTo>
              <a:lnTo>
                <a:pt x="5017548" y="1275566"/>
              </a:lnTo>
              <a:lnTo>
                <a:pt x="5057230" y="1271973"/>
              </a:lnTo>
              <a:lnTo>
                <a:pt x="5099457" y="1268471"/>
              </a:lnTo>
              <a:lnTo>
                <a:pt x="5144225" y="1265004"/>
              </a:lnTo>
              <a:lnTo>
                <a:pt x="5190821" y="1261457"/>
              </a:lnTo>
              <a:lnTo>
                <a:pt x="5238531" y="1257719"/>
              </a:lnTo>
              <a:lnTo>
                <a:pt x="5287768" y="1253713"/>
              </a:lnTo>
              <a:lnTo>
                <a:pt x="5338711" y="1249514"/>
              </a:lnTo>
              <a:lnTo>
                <a:pt x="5390300" y="1245238"/>
              </a:lnTo>
              <a:lnTo>
                <a:pt x="5441473" y="1240999"/>
              </a:lnTo>
              <a:lnTo>
                <a:pt x="5492429" y="1236789"/>
              </a:lnTo>
              <a:lnTo>
                <a:pt x="5543574" y="1232558"/>
              </a:lnTo>
              <a:lnTo>
                <a:pt x="5594156" y="1228366"/>
              </a:lnTo>
              <a:lnTo>
                <a:pt x="5643426" y="1224269"/>
              </a:lnTo>
              <a:lnTo>
                <a:pt x="5691645" y="1220305"/>
              </a:lnTo>
              <a:lnTo>
                <a:pt x="5739057" y="1216437"/>
              </a:lnTo>
              <a:lnTo>
                <a:pt x="5784894" y="1212606"/>
              </a:lnTo>
              <a:lnTo>
                <a:pt x="5828382" y="1208757"/>
              </a:lnTo>
              <a:lnTo>
                <a:pt x="5869529" y="1204857"/>
              </a:lnTo>
              <a:lnTo>
                <a:pt x="5908675" y="1200941"/>
              </a:lnTo>
              <a:lnTo>
                <a:pt x="5979880" y="1193252"/>
              </a:lnTo>
              <a:lnTo>
                <a:pt x="6040981" y="1185760"/>
              </a:lnTo>
              <a:lnTo>
                <a:pt x="6092136" y="1178766"/>
              </a:lnTo>
              <a:lnTo>
                <a:pt x="6132950" y="1172608"/>
              </a:lnTo>
              <a:lnTo>
                <a:pt x="6176081" y="1164843"/>
              </a:lnTo>
              <a:lnTo>
                <a:pt x="6198744" y="1159181"/>
              </a:lnTo>
              <a:lnTo>
                <a:pt x="6205135" y="1157547"/>
              </a:lnTo>
              <a:lnTo>
                <a:pt x="6205500" y="1157176"/>
              </a:lnTo>
              <a:lnTo>
                <a:pt x="6202416" y="1157444"/>
              </a:lnTo>
              <a:lnTo>
                <a:pt x="6199331" y="1157713"/>
              </a:lnTo>
              <a:lnTo>
                <a:pt x="6191316" y="1158806"/>
              </a:lnTo>
              <a:lnTo>
                <a:pt x="6180236" y="1160790"/>
              </a:lnTo>
              <a:lnTo>
                <a:pt x="6171179" y="1162498"/>
              </a:lnTo>
              <a:lnTo>
                <a:pt x="6160702" y="1164570"/>
              </a:lnTo>
              <a:lnTo>
                <a:pt x="6148917" y="1166891"/>
              </a:lnTo>
              <a:lnTo>
                <a:pt x="6135935" y="1169348"/>
              </a:lnTo>
              <a:lnTo>
                <a:pt x="6121670" y="1171922"/>
              </a:lnTo>
              <a:lnTo>
                <a:pt x="6106099" y="1174670"/>
              </a:lnTo>
              <a:lnTo>
                <a:pt x="6089437" y="1177590"/>
              </a:lnTo>
              <a:lnTo>
                <a:pt x="6071896" y="1180677"/>
              </a:lnTo>
              <a:lnTo>
                <a:pt x="6053400" y="1183981"/>
              </a:lnTo>
              <a:lnTo>
                <a:pt x="6033877" y="1187487"/>
              </a:lnTo>
              <a:lnTo>
                <a:pt x="6013558" y="1191095"/>
              </a:lnTo>
              <a:lnTo>
                <a:pt x="5971110" y="1198332"/>
              </a:lnTo>
              <a:lnTo>
                <a:pt x="5926056" y="1205694"/>
              </a:lnTo>
              <a:lnTo>
                <a:pt x="5879768" y="1212896"/>
              </a:lnTo>
              <a:lnTo>
                <a:pt x="5832246" y="1219940"/>
              </a:lnTo>
              <a:lnTo>
                <a:pt x="5809013" y="1223363"/>
              </a:lnTo>
              <a:lnTo>
                <a:pt x="5763516" y="1230095"/>
              </a:lnTo>
              <a:lnTo>
                <a:pt x="5720549" y="1236352"/>
              </a:lnTo>
              <a:lnTo>
                <a:pt x="5681467" y="1241743"/>
              </a:lnTo>
              <a:lnTo>
                <a:pt x="5663419" y="1244212"/>
              </a:lnTo>
              <a:lnTo>
                <a:pt x="5646695" y="1246607"/>
              </a:lnTo>
              <a:lnTo>
                <a:pt x="5631200" y="1249031"/>
              </a:lnTo>
              <a:lnTo>
                <a:pt x="5616857" y="1251424"/>
              </a:lnTo>
              <a:lnTo>
                <a:pt x="5603935" y="1253600"/>
              </a:lnTo>
              <a:lnTo>
                <a:pt x="5592702" y="1255371"/>
              </a:lnTo>
              <a:lnTo>
                <a:pt x="5558852" y="1258937"/>
              </a:lnTo>
              <a:lnTo>
                <a:pt x="5558228" y="1258478"/>
              </a:lnTo>
              <a:lnTo>
                <a:pt x="5560008" y="1257031"/>
              </a:lnTo>
              <a:lnTo>
                <a:pt x="5561788" y="1255586"/>
              </a:lnTo>
              <a:lnTo>
                <a:pt x="5568269" y="1252854"/>
              </a:lnTo>
              <a:lnTo>
                <a:pt x="5574982" y="1249982"/>
              </a:lnTo>
              <a:lnTo>
                <a:pt x="5580523" y="1247729"/>
              </a:lnTo>
              <a:lnTo>
                <a:pt x="5586832" y="1245279"/>
              </a:lnTo>
              <a:lnTo>
                <a:pt x="5593542" y="1242635"/>
              </a:lnTo>
              <a:lnTo>
                <a:pt x="5600285" y="1239800"/>
              </a:lnTo>
              <a:lnTo>
                <a:pt x="5607101" y="1236685"/>
              </a:lnTo>
              <a:lnTo>
                <a:pt x="5614140" y="1233318"/>
              </a:lnTo>
              <a:lnTo>
                <a:pt x="5621198" y="1229878"/>
              </a:lnTo>
              <a:lnTo>
                <a:pt x="5628072" y="1226542"/>
              </a:lnTo>
              <a:lnTo>
                <a:pt x="5634809" y="1223336"/>
              </a:lnTo>
              <a:lnTo>
                <a:pt x="5641485" y="1220172"/>
              </a:lnTo>
              <a:lnTo>
                <a:pt x="5647935" y="1217058"/>
              </a:lnTo>
              <a:lnTo>
                <a:pt x="5680151" y="1198842"/>
              </a:lnTo>
              <a:lnTo>
                <a:pt x="5685211" y="1195697"/>
              </a:lnTo>
              <a:lnTo>
                <a:pt x="5687384" y="1193077"/>
              </a:lnTo>
              <a:lnTo>
                <a:pt x="5689559" y="1190456"/>
              </a:lnTo>
              <a:lnTo>
                <a:pt x="5690492" y="1188349"/>
              </a:lnTo>
              <a:lnTo>
                <a:pt x="5687629" y="1186607"/>
              </a:lnTo>
              <a:lnTo>
                <a:pt x="5684767" y="1184865"/>
              </a:lnTo>
              <a:lnTo>
                <a:pt x="5678615" y="1183634"/>
              </a:lnTo>
              <a:lnTo>
                <a:pt x="5637195" y="1180572"/>
              </a:lnTo>
              <a:lnTo>
                <a:pt x="5590649" y="1179825"/>
              </a:lnTo>
              <a:lnTo>
                <a:pt x="5562697" y="1179770"/>
              </a:lnTo>
              <a:lnTo>
                <a:pt x="5547326" y="1179807"/>
              </a:lnTo>
              <a:lnTo>
                <a:pt x="5530663" y="1179861"/>
              </a:lnTo>
              <a:lnTo>
                <a:pt x="5512732" y="1179937"/>
              </a:lnTo>
              <a:lnTo>
                <a:pt x="5493644" y="1180040"/>
              </a:lnTo>
              <a:lnTo>
                <a:pt x="5473266" y="1180160"/>
              </a:lnTo>
              <a:lnTo>
                <a:pt x="5451463" y="1180282"/>
              </a:lnTo>
              <a:lnTo>
                <a:pt x="5428274" y="1180410"/>
              </a:lnTo>
              <a:lnTo>
                <a:pt x="5403745" y="1180548"/>
              </a:lnTo>
              <a:lnTo>
                <a:pt x="5377756" y="1180688"/>
              </a:lnTo>
              <a:lnTo>
                <a:pt x="5321069" y="1180956"/>
              </a:lnTo>
              <a:lnTo>
                <a:pt x="5258215" y="1181215"/>
              </a:lnTo>
              <a:lnTo>
                <a:pt x="5188591" y="1181446"/>
              </a:lnTo>
              <a:lnTo>
                <a:pt x="5112197" y="1181651"/>
              </a:lnTo>
              <a:lnTo>
                <a:pt x="5071842" y="1181742"/>
              </a:lnTo>
              <a:lnTo>
                <a:pt x="5029807" y="1181825"/>
              </a:lnTo>
              <a:lnTo>
                <a:pt x="4986119" y="1181900"/>
              </a:lnTo>
              <a:lnTo>
                <a:pt x="4941422" y="1181968"/>
              </a:lnTo>
              <a:lnTo>
                <a:pt x="4896364" y="1182029"/>
              </a:lnTo>
              <a:lnTo>
                <a:pt x="4850625" y="1182083"/>
              </a:lnTo>
              <a:lnTo>
                <a:pt x="4804025" y="1182130"/>
              </a:lnTo>
              <a:lnTo>
                <a:pt x="4757417" y="1182171"/>
              </a:lnTo>
              <a:lnTo>
                <a:pt x="4711652" y="1182207"/>
              </a:lnTo>
              <a:lnTo>
                <a:pt x="4666544" y="1182276"/>
              </a:lnTo>
              <a:lnTo>
                <a:pt x="4621776" y="1182364"/>
              </a:lnTo>
              <a:lnTo>
                <a:pt x="4578007" y="1182397"/>
              </a:lnTo>
              <a:lnTo>
                <a:pt x="4535896" y="1182300"/>
              </a:lnTo>
              <a:lnTo>
                <a:pt x="4495328" y="1182035"/>
              </a:lnTo>
              <a:lnTo>
                <a:pt x="4456047" y="1181648"/>
              </a:lnTo>
              <a:lnTo>
                <a:pt x="4418505" y="1181191"/>
              </a:lnTo>
              <a:lnTo>
                <a:pt x="4383151" y="1180715"/>
              </a:lnTo>
              <a:lnTo>
                <a:pt x="4349659" y="1180290"/>
              </a:lnTo>
              <a:lnTo>
                <a:pt x="4288790" y="1179334"/>
              </a:lnTo>
              <a:lnTo>
                <a:pt x="4240857" y="1177508"/>
              </a:lnTo>
              <a:lnTo>
                <a:pt x="4192573" y="1173247"/>
              </a:lnTo>
              <a:lnTo>
                <a:pt x="4164910" y="1162855"/>
              </a:lnTo>
              <a:lnTo>
                <a:pt x="4171307" y="1159987"/>
              </a:lnTo>
              <a:lnTo>
                <a:pt x="4217350" y="1145037"/>
              </a:lnTo>
              <a:lnTo>
                <a:pt x="4255703" y="1135757"/>
              </a:lnTo>
              <a:lnTo>
                <a:pt x="4296829" y="1126432"/>
              </a:lnTo>
              <a:lnTo>
                <a:pt x="4310744" y="1123343"/>
              </a:lnTo>
              <a:lnTo>
                <a:pt x="4324257" y="1120292"/>
              </a:lnTo>
              <a:lnTo>
                <a:pt x="4362994" y="1111351"/>
              </a:lnTo>
              <a:lnTo>
                <a:pt x="4405473" y="1099876"/>
              </a:lnTo>
              <a:lnTo>
                <a:pt x="4414387" y="1097248"/>
              </a:lnTo>
              <a:lnTo>
                <a:pt x="4422756" y="1094786"/>
              </a:lnTo>
              <a:lnTo>
                <a:pt x="4458893" y="1080228"/>
              </a:lnTo>
              <a:lnTo>
                <a:pt x="4457110" y="1079003"/>
              </a:lnTo>
              <a:lnTo>
                <a:pt x="4417142" y="1075866"/>
              </a:lnTo>
              <a:lnTo>
                <a:pt x="4407298" y="1075983"/>
              </a:lnTo>
              <a:lnTo>
                <a:pt x="4358196" y="1078415"/>
              </a:lnTo>
              <a:lnTo>
                <a:pt x="4343555" y="1079464"/>
              </a:lnTo>
              <a:lnTo>
                <a:pt x="4328167" y="1080532"/>
              </a:lnTo>
              <a:lnTo>
                <a:pt x="4311972" y="1081593"/>
              </a:lnTo>
              <a:lnTo>
                <a:pt x="4294934" y="1082698"/>
              </a:lnTo>
              <a:lnTo>
                <a:pt x="4277217" y="1083869"/>
              </a:lnTo>
              <a:lnTo>
                <a:pt x="4258983" y="1085124"/>
              </a:lnTo>
              <a:lnTo>
                <a:pt x="4240221" y="1086505"/>
              </a:lnTo>
              <a:lnTo>
                <a:pt x="4220862" y="1087990"/>
              </a:lnTo>
              <a:lnTo>
                <a:pt x="4200984" y="1089503"/>
              </a:lnTo>
              <a:lnTo>
                <a:pt x="4180666" y="1090967"/>
              </a:lnTo>
              <a:lnTo>
                <a:pt x="4159834" y="1092350"/>
              </a:lnTo>
              <a:lnTo>
                <a:pt x="4138477" y="1093697"/>
              </a:lnTo>
              <a:lnTo>
                <a:pt x="4116770" y="1095048"/>
              </a:lnTo>
              <a:lnTo>
                <a:pt x="4094888" y="1096443"/>
              </a:lnTo>
              <a:lnTo>
                <a:pt x="4072764" y="1097921"/>
              </a:lnTo>
              <a:lnTo>
                <a:pt x="4050341" y="1099451"/>
              </a:lnTo>
              <a:lnTo>
                <a:pt x="4027814" y="1100972"/>
              </a:lnTo>
              <a:lnTo>
                <a:pt x="4005375" y="1102425"/>
              </a:lnTo>
              <a:lnTo>
                <a:pt x="3982934" y="1103775"/>
              </a:lnTo>
              <a:lnTo>
                <a:pt x="3960435" y="1105060"/>
              </a:lnTo>
              <a:lnTo>
                <a:pt x="3938124" y="1106332"/>
              </a:lnTo>
              <a:lnTo>
                <a:pt x="3916245" y="1107643"/>
              </a:lnTo>
              <a:lnTo>
                <a:pt x="3894688" y="1109028"/>
              </a:lnTo>
              <a:lnTo>
                <a:pt x="3873379" y="1110453"/>
              </a:lnTo>
              <a:lnTo>
                <a:pt x="3852626" y="1111865"/>
              </a:lnTo>
              <a:lnTo>
                <a:pt x="3832734" y="1113211"/>
              </a:lnTo>
              <a:lnTo>
                <a:pt x="3813650" y="1114493"/>
              </a:lnTo>
              <a:lnTo>
                <a:pt x="3795255" y="1115733"/>
              </a:lnTo>
              <a:lnTo>
                <a:pt x="3777758" y="1116912"/>
              </a:lnTo>
              <a:lnTo>
                <a:pt x="3761367" y="1118009"/>
              </a:lnTo>
              <a:lnTo>
                <a:pt x="3745827" y="1119020"/>
              </a:lnTo>
              <a:lnTo>
                <a:pt x="3731129" y="1119957"/>
              </a:lnTo>
              <a:lnTo>
                <a:pt x="3717855" y="1120819"/>
              </a:lnTo>
              <a:lnTo>
                <a:pt x="3677985" y="1124615"/>
              </a:lnTo>
              <a:lnTo>
                <a:pt x="3682090" y="1125028"/>
              </a:lnTo>
              <a:lnTo>
                <a:pt x="3728167" y="1125996"/>
              </a:lnTo>
              <a:lnTo>
                <a:pt x="3772099" y="1126143"/>
              </a:lnTo>
              <a:lnTo>
                <a:pt x="3788906" y="1126152"/>
              </a:lnTo>
              <a:lnTo>
                <a:pt x="3806777" y="1126147"/>
              </a:lnTo>
              <a:lnTo>
                <a:pt x="3825792" y="1126122"/>
              </a:lnTo>
              <a:lnTo>
                <a:pt x="3845434" y="1126086"/>
              </a:lnTo>
              <a:lnTo>
                <a:pt x="3865188" y="1126044"/>
              </a:lnTo>
              <a:lnTo>
                <a:pt x="3885227" y="1126035"/>
              </a:lnTo>
              <a:lnTo>
                <a:pt x="3926154" y="1125995"/>
              </a:lnTo>
              <a:lnTo>
                <a:pt x="3965310" y="1125483"/>
              </a:lnTo>
              <a:lnTo>
                <a:pt x="4020198" y="1123960"/>
              </a:lnTo>
              <a:lnTo>
                <a:pt x="4067704" y="1122187"/>
              </a:lnTo>
              <a:lnTo>
                <a:pt x="4107213" y="1120449"/>
              </a:lnTo>
              <a:lnTo>
                <a:pt x="4148199" y="1117847"/>
              </a:lnTo>
              <a:lnTo>
                <a:pt x="4152460" y="1117617"/>
              </a:lnTo>
              <a:lnTo>
                <a:pt x="4156720" y="1117387"/>
              </a:lnTo>
              <a:lnTo>
                <a:pt x="4157099" y="1117164"/>
              </a:lnTo>
              <a:lnTo>
                <a:pt x="4153628" y="1117999"/>
              </a:lnTo>
              <a:lnTo>
                <a:pt x="4150158" y="1118835"/>
              </a:lnTo>
              <a:lnTo>
                <a:pt x="4142977" y="1120054"/>
              </a:lnTo>
              <a:lnTo>
                <a:pt x="4099223" y="1130175"/>
              </a:lnTo>
              <a:lnTo>
                <a:pt x="4054127" y="1141334"/>
              </a:lnTo>
              <a:lnTo>
                <a:pt x="4036398" y="1145783"/>
              </a:lnTo>
              <a:lnTo>
                <a:pt x="3997496" y="1155219"/>
              </a:lnTo>
              <a:lnTo>
                <a:pt x="3953869" y="1165491"/>
              </a:lnTo>
              <a:lnTo>
                <a:pt x="3906398" y="1176043"/>
              </a:lnTo>
              <a:lnTo>
                <a:pt x="3855081" y="1186874"/>
              </a:lnTo>
              <a:lnTo>
                <a:pt x="3827891" y="1192618"/>
              </a:lnTo>
              <a:lnTo>
                <a:pt x="3799493" y="1198695"/>
              </a:lnTo>
              <a:lnTo>
                <a:pt x="3769959" y="1205036"/>
              </a:lnTo>
              <a:lnTo>
                <a:pt x="3739633" y="1211508"/>
              </a:lnTo>
              <a:lnTo>
                <a:pt x="3708858" y="1217979"/>
              </a:lnTo>
              <a:lnTo>
                <a:pt x="3677533" y="1224424"/>
              </a:lnTo>
              <a:lnTo>
                <a:pt x="3645538" y="1230910"/>
              </a:lnTo>
              <a:lnTo>
                <a:pt x="3613194" y="1237441"/>
              </a:lnTo>
              <a:lnTo>
                <a:pt x="3580819" y="1244023"/>
              </a:lnTo>
              <a:lnTo>
                <a:pt x="3548418" y="1250619"/>
              </a:lnTo>
              <a:lnTo>
                <a:pt x="3515845" y="1257239"/>
              </a:lnTo>
              <a:lnTo>
                <a:pt x="3483204" y="1263956"/>
              </a:lnTo>
              <a:lnTo>
                <a:pt x="3417895" y="1277973"/>
              </a:lnTo>
              <a:lnTo>
                <a:pt x="3352491" y="1292671"/>
              </a:lnTo>
              <a:lnTo>
                <a:pt x="3288775" y="1307156"/>
              </a:lnTo>
              <a:lnTo>
                <a:pt x="3226747" y="1321427"/>
              </a:lnTo>
              <a:lnTo>
                <a:pt x="3165415" y="1335670"/>
              </a:lnTo>
              <a:lnTo>
                <a:pt x="3135008" y="1342808"/>
              </a:lnTo>
              <a:lnTo>
                <a:pt x="3104780" y="1349884"/>
              </a:lnTo>
              <a:lnTo>
                <a:pt x="3074714" y="1356831"/>
              </a:lnTo>
              <a:lnTo>
                <a:pt x="3044785" y="1363610"/>
              </a:lnTo>
              <a:lnTo>
                <a:pt x="3015008" y="1370263"/>
              </a:lnTo>
              <a:lnTo>
                <a:pt x="2985430" y="1376847"/>
              </a:lnTo>
              <a:lnTo>
                <a:pt x="2956097" y="1383418"/>
              </a:lnTo>
              <a:lnTo>
                <a:pt x="2926983" y="1390006"/>
              </a:lnTo>
              <a:lnTo>
                <a:pt x="2898075" y="1396577"/>
              </a:lnTo>
              <a:lnTo>
                <a:pt x="2869444" y="1403087"/>
              </a:lnTo>
              <a:lnTo>
                <a:pt x="2841159" y="1409492"/>
              </a:lnTo>
              <a:lnTo>
                <a:pt x="2813273" y="1415827"/>
              </a:lnTo>
              <a:lnTo>
                <a:pt x="2785738" y="1422100"/>
              </a:lnTo>
              <a:lnTo>
                <a:pt x="2758472" y="1428225"/>
              </a:lnTo>
              <a:lnTo>
                <a:pt x="2704479" y="1439766"/>
              </a:lnTo>
              <a:lnTo>
                <a:pt x="2651296" y="1450450"/>
              </a:lnTo>
              <a:lnTo>
                <a:pt x="2598987" y="1460164"/>
              </a:lnTo>
              <a:lnTo>
                <a:pt x="2547550" y="1468908"/>
              </a:lnTo>
              <a:lnTo>
                <a:pt x="2522270" y="1473131"/>
              </a:lnTo>
              <a:lnTo>
                <a:pt x="2497237" y="1477348"/>
              </a:lnTo>
              <a:lnTo>
                <a:pt x="2448049" y="1485484"/>
              </a:lnTo>
              <a:lnTo>
                <a:pt x="2400881" y="1492663"/>
              </a:lnTo>
              <a:lnTo>
                <a:pt x="2355733" y="1498883"/>
              </a:lnTo>
              <a:lnTo>
                <a:pt x="2311964" y="1504577"/>
              </a:lnTo>
              <a:lnTo>
                <a:pt x="2269573" y="1509745"/>
              </a:lnTo>
              <a:lnTo>
                <a:pt x="2230487" y="1514134"/>
              </a:lnTo>
              <a:lnTo>
                <a:pt x="2194705" y="1517745"/>
              </a:lnTo>
              <a:lnTo>
                <a:pt x="2177937" y="1519449"/>
              </a:lnTo>
              <a:lnTo>
                <a:pt x="2161920" y="1521140"/>
              </a:lnTo>
              <a:lnTo>
                <a:pt x="2146664" y="1522773"/>
              </a:lnTo>
              <a:lnTo>
                <a:pt x="2132133" y="1524320"/>
              </a:lnTo>
              <a:lnTo>
                <a:pt x="2118295" y="1525759"/>
              </a:lnTo>
              <a:lnTo>
                <a:pt x="2105160" y="1527047"/>
              </a:lnTo>
              <a:lnTo>
                <a:pt x="2092739" y="1528208"/>
              </a:lnTo>
              <a:lnTo>
                <a:pt x="2081002" y="1529320"/>
              </a:lnTo>
              <a:lnTo>
                <a:pt x="2040752" y="1534047"/>
              </a:lnTo>
              <a:lnTo>
                <a:pt x="2009580" y="1538203"/>
              </a:lnTo>
              <a:lnTo>
                <a:pt x="2002880" y="1539089"/>
              </a:lnTo>
              <a:lnTo>
                <a:pt x="1994118" y="1540218"/>
              </a:lnTo>
              <a:lnTo>
                <a:pt x="1986730" y="1541163"/>
              </a:lnTo>
              <a:lnTo>
                <a:pt x="1979582" y="1541945"/>
              </a:lnTo>
              <a:lnTo>
                <a:pt x="1972434" y="1542728"/>
              </a:lnTo>
              <a:lnTo>
                <a:pt x="1966739" y="1543308"/>
              </a:lnTo>
              <a:lnTo>
                <a:pt x="1959992" y="1543784"/>
              </a:lnTo>
              <a:lnTo>
                <a:pt x="1953246" y="1544260"/>
              </a:lnTo>
              <a:lnTo>
                <a:pt x="1913012" y="1545236"/>
              </a:lnTo>
              <a:lnTo>
                <a:pt x="1884389" y="1545310"/>
              </a:lnTo>
              <a:lnTo>
                <a:pt x="1872547" y="1545304"/>
              </a:lnTo>
              <a:lnTo>
                <a:pt x="1859328" y="1545288"/>
              </a:lnTo>
              <a:lnTo>
                <a:pt x="1844864" y="1545258"/>
              </a:lnTo>
              <a:lnTo>
                <a:pt x="1829186" y="1545220"/>
              </a:lnTo>
              <a:lnTo>
                <a:pt x="1812325" y="1545179"/>
              </a:lnTo>
              <a:lnTo>
                <a:pt x="1794164" y="1545134"/>
              </a:lnTo>
              <a:lnTo>
                <a:pt x="1774730" y="1545083"/>
              </a:lnTo>
              <a:lnTo>
                <a:pt x="1754264" y="1545029"/>
              </a:lnTo>
              <a:lnTo>
                <a:pt x="1710821" y="1544925"/>
              </a:lnTo>
              <a:lnTo>
                <a:pt x="1663835" y="1544821"/>
              </a:lnTo>
              <a:lnTo>
                <a:pt x="1615310" y="1544725"/>
              </a:lnTo>
              <a:lnTo>
                <a:pt x="1565246" y="1544639"/>
              </a:lnTo>
              <a:lnTo>
                <a:pt x="1517162" y="1544564"/>
              </a:lnTo>
              <a:lnTo>
                <a:pt x="1471058" y="1544500"/>
              </a:lnTo>
              <a:lnTo>
                <a:pt x="1429089" y="1544448"/>
              </a:lnTo>
              <a:lnTo>
                <a:pt x="1374142" y="1544391"/>
              </a:lnTo>
              <a:lnTo>
                <a:pt x="1330341" y="1544354"/>
              </a:lnTo>
              <a:lnTo>
                <a:pt x="1317985" y="1544346"/>
              </a:lnTo>
              <a:lnTo>
                <a:pt x="1306813" y="1544338"/>
              </a:lnTo>
              <a:lnTo>
                <a:pt x="1296822" y="1544332"/>
              </a:lnTo>
              <a:lnTo>
                <a:pt x="1287756" y="1544328"/>
              </a:lnTo>
              <a:lnTo>
                <a:pt x="1279361" y="1544325"/>
              </a:lnTo>
              <a:lnTo>
                <a:pt x="1271706" y="1544323"/>
              </a:lnTo>
              <a:lnTo>
                <a:pt x="1264881" y="1544321"/>
              </a:lnTo>
              <a:lnTo>
                <a:pt x="1258663" y="1544321"/>
              </a:lnTo>
              <a:lnTo>
                <a:pt x="1252827" y="1544322"/>
              </a:lnTo>
              <a:lnTo>
                <a:pt x="1245201" y="1544322"/>
              </a:lnTo>
              <a:lnTo>
                <a:pt x="1239400" y="1544324"/>
              </a:lnTo>
              <a:lnTo>
                <a:pt x="1233607" y="1544327"/>
              </a:lnTo>
              <a:lnTo>
                <a:pt x="1227814" y="1544328"/>
              </a:lnTo>
              <a:lnTo>
                <a:pt x="1223042" y="1544332"/>
              </a:lnTo>
              <a:lnTo>
                <a:pt x="1218070" y="1544335"/>
              </a:lnTo>
              <a:lnTo>
                <a:pt x="1213098" y="1544338"/>
              </a:lnTo>
              <a:lnTo>
                <a:pt x="1208572" y="1544611"/>
              </a:lnTo>
              <a:lnTo>
                <a:pt x="1203775" y="1544344"/>
              </a:lnTo>
              <a:lnTo>
                <a:pt x="1198977" y="1544077"/>
              </a:lnTo>
              <a:lnTo>
                <a:pt x="1194263" y="1543629"/>
              </a:lnTo>
              <a:lnTo>
                <a:pt x="1189288" y="1542732"/>
              </a:lnTo>
              <a:lnTo>
                <a:pt x="1184313" y="1541835"/>
              </a:lnTo>
              <a:lnTo>
                <a:pt x="1178955" y="1540292"/>
              </a:lnTo>
              <a:lnTo>
                <a:pt x="1173927" y="1538962"/>
              </a:lnTo>
              <a:lnTo>
                <a:pt x="1168899" y="1537633"/>
              </a:lnTo>
              <a:lnTo>
                <a:pt x="1163590" y="1536345"/>
              </a:lnTo>
              <a:lnTo>
                <a:pt x="1159120" y="1534755"/>
              </a:lnTo>
              <a:lnTo>
                <a:pt x="1154650" y="1533166"/>
              </a:lnTo>
              <a:lnTo>
                <a:pt x="1150538" y="1531415"/>
              </a:lnTo>
              <a:lnTo>
                <a:pt x="1147106" y="1529426"/>
              </a:lnTo>
              <a:lnTo>
                <a:pt x="1143675" y="1527436"/>
              </a:lnTo>
              <a:lnTo>
                <a:pt x="1140050" y="1525480"/>
              </a:lnTo>
              <a:lnTo>
                <a:pt x="1138532" y="1522819"/>
              </a:lnTo>
              <a:lnTo>
                <a:pt x="1137014" y="1520158"/>
              </a:lnTo>
              <a:lnTo>
                <a:pt x="1135600" y="1517083"/>
              </a:lnTo>
              <a:lnTo>
                <a:pt x="1137998" y="1513458"/>
              </a:lnTo>
              <a:lnTo>
                <a:pt x="1140396" y="1509833"/>
              </a:lnTo>
              <a:lnTo>
                <a:pt x="1144649" y="1505911"/>
              </a:lnTo>
              <a:lnTo>
                <a:pt x="1187620" y="1484416"/>
              </a:lnTo>
              <a:lnTo>
                <a:pt x="1231232" y="1470507"/>
              </a:lnTo>
              <a:lnTo>
                <a:pt x="1272461" y="1459331"/>
              </a:lnTo>
              <a:lnTo>
                <a:pt x="1324077" y="1446409"/>
              </a:lnTo>
              <a:lnTo>
                <a:pt x="1392201" y="1433574"/>
              </a:lnTo>
              <a:lnTo>
                <a:pt x="1432334" y="1427242"/>
              </a:lnTo>
              <a:lnTo>
                <a:pt x="1476832" y="1420826"/>
              </a:lnTo>
              <a:lnTo>
                <a:pt x="1526160" y="1414236"/>
              </a:lnTo>
              <a:lnTo>
                <a:pt x="1569093" y="1408730"/>
              </a:lnTo>
              <a:lnTo>
                <a:pt x="1614934" y="1403037"/>
              </a:lnTo>
              <a:lnTo>
                <a:pt x="1663809" y="1397300"/>
              </a:lnTo>
              <a:lnTo>
                <a:pt x="1715844" y="1391659"/>
              </a:lnTo>
              <a:lnTo>
                <a:pt x="1771163" y="1386258"/>
              </a:lnTo>
              <a:lnTo>
                <a:pt x="1819924" y="1381955"/>
              </a:lnTo>
              <a:lnTo>
                <a:pt x="1871084" y="1377766"/>
              </a:lnTo>
              <a:lnTo>
                <a:pt x="1924466" y="1373677"/>
              </a:lnTo>
              <a:lnTo>
                <a:pt x="1979897" y="1369675"/>
              </a:lnTo>
              <a:lnTo>
                <a:pt x="2037201" y="1365748"/>
              </a:lnTo>
              <a:lnTo>
                <a:pt x="2096202" y="1361885"/>
              </a:lnTo>
              <a:lnTo>
                <a:pt x="2141682" y="1359012"/>
              </a:lnTo>
              <a:lnTo>
                <a:pt x="2188374" y="1356160"/>
              </a:lnTo>
              <a:lnTo>
                <a:pt x="2236183" y="1353340"/>
              </a:lnTo>
              <a:lnTo>
                <a:pt x="2285013" y="1350567"/>
              </a:lnTo>
              <a:lnTo>
                <a:pt x="2334771" y="1347855"/>
              </a:lnTo>
              <a:lnTo>
                <a:pt x="2385362" y="1345217"/>
              </a:lnTo>
              <a:lnTo>
                <a:pt x="2436690" y="1342667"/>
              </a:lnTo>
              <a:lnTo>
                <a:pt x="2488662" y="1340218"/>
              </a:lnTo>
              <a:lnTo>
                <a:pt x="2535606" y="1338120"/>
              </a:lnTo>
              <a:lnTo>
                <a:pt x="2583441" y="1336081"/>
              </a:lnTo>
              <a:lnTo>
                <a:pt x="2632039" y="1334103"/>
              </a:lnTo>
              <a:lnTo>
                <a:pt x="2681269" y="1332188"/>
              </a:lnTo>
              <a:lnTo>
                <a:pt x="2731003" y="1330336"/>
              </a:lnTo>
              <a:lnTo>
                <a:pt x="2781113" y="1328549"/>
              </a:lnTo>
              <a:lnTo>
                <a:pt x="2831467" y="1326827"/>
              </a:lnTo>
              <a:lnTo>
                <a:pt x="2881938" y="1325173"/>
              </a:lnTo>
              <a:lnTo>
                <a:pt x="2932397" y="1323588"/>
              </a:lnTo>
              <a:lnTo>
                <a:pt x="2983078" y="1322074"/>
              </a:lnTo>
              <a:lnTo>
                <a:pt x="3034229" y="1320633"/>
              </a:lnTo>
              <a:lnTo>
                <a:pt x="3085737" y="1319260"/>
              </a:lnTo>
              <a:lnTo>
                <a:pt x="3137490" y="1317954"/>
              </a:lnTo>
              <a:lnTo>
                <a:pt x="3189378" y="1316710"/>
              </a:lnTo>
              <a:lnTo>
                <a:pt x="3241287" y="1315526"/>
              </a:lnTo>
              <a:lnTo>
                <a:pt x="3293107" y="1314399"/>
              </a:lnTo>
              <a:lnTo>
                <a:pt x="3344724" y="1313325"/>
              </a:lnTo>
              <a:lnTo>
                <a:pt x="3396029" y="1312302"/>
              </a:lnTo>
              <a:lnTo>
                <a:pt x="3447224" y="1311356"/>
              </a:lnTo>
              <a:lnTo>
                <a:pt x="3498525" y="1310503"/>
              </a:lnTo>
              <a:lnTo>
                <a:pt x="3549833" y="1309724"/>
              </a:lnTo>
              <a:lnTo>
                <a:pt x="3601051" y="1309002"/>
              </a:lnTo>
              <a:lnTo>
                <a:pt x="3652082" y="1308319"/>
              </a:lnTo>
              <a:lnTo>
                <a:pt x="3702828" y="1307656"/>
              </a:lnTo>
              <a:lnTo>
                <a:pt x="3753191" y="1306995"/>
              </a:lnTo>
              <a:lnTo>
                <a:pt x="3803075" y="1306319"/>
              </a:lnTo>
              <a:lnTo>
                <a:pt x="3852382" y="1305609"/>
              </a:lnTo>
              <a:lnTo>
                <a:pt x="3907459" y="1304779"/>
              </a:lnTo>
              <a:lnTo>
                <a:pt x="3962354" y="1303942"/>
              </a:lnTo>
              <a:lnTo>
                <a:pt x="4016886" y="1303104"/>
              </a:lnTo>
              <a:lnTo>
                <a:pt x="4070874" y="1302272"/>
              </a:lnTo>
              <a:lnTo>
                <a:pt x="4124136" y="1301450"/>
              </a:lnTo>
              <a:lnTo>
                <a:pt x="4176492" y="1300645"/>
              </a:lnTo>
              <a:lnTo>
                <a:pt x="4227760" y="1299862"/>
              </a:lnTo>
              <a:lnTo>
                <a:pt x="4277761" y="1299109"/>
              </a:lnTo>
              <a:lnTo>
                <a:pt x="4333578" y="1298275"/>
              </a:lnTo>
              <a:lnTo>
                <a:pt x="4388266" y="1297463"/>
              </a:lnTo>
              <a:lnTo>
                <a:pt x="4441725" y="1296675"/>
              </a:lnTo>
              <a:lnTo>
                <a:pt x="4493855" y="1295913"/>
              </a:lnTo>
              <a:lnTo>
                <a:pt x="4544555" y="1295180"/>
              </a:lnTo>
              <a:lnTo>
                <a:pt x="4593727" y="1294478"/>
              </a:lnTo>
              <a:lnTo>
                <a:pt x="4641270" y="1293810"/>
              </a:lnTo>
              <a:lnTo>
                <a:pt x="4694728" y="1293093"/>
              </a:lnTo>
              <a:lnTo>
                <a:pt x="4746146" y="1292442"/>
              </a:lnTo>
              <a:lnTo>
                <a:pt x="4795528" y="1291832"/>
              </a:lnTo>
              <a:lnTo>
                <a:pt x="4842879" y="1291240"/>
              </a:lnTo>
              <a:lnTo>
                <a:pt x="4888201" y="1290641"/>
              </a:lnTo>
              <a:lnTo>
                <a:pt x="4931499" y="1290013"/>
              </a:lnTo>
              <a:lnTo>
                <a:pt x="4992506" y="1289010"/>
              </a:lnTo>
              <a:lnTo>
                <a:pt x="5048854" y="1287981"/>
              </a:lnTo>
              <a:lnTo>
                <a:pt x="5100829" y="1286963"/>
              </a:lnTo>
              <a:lnTo>
                <a:pt x="5148714" y="1285992"/>
              </a:lnTo>
              <a:lnTo>
                <a:pt x="5192295" y="1285069"/>
              </a:lnTo>
              <a:lnTo>
                <a:pt x="5231517" y="1284178"/>
              </a:lnTo>
              <a:lnTo>
                <a:pt x="5298980" y="1282543"/>
              </a:lnTo>
              <a:lnTo>
                <a:pt x="5353267" y="1281145"/>
              </a:lnTo>
              <a:lnTo>
                <a:pt x="5393466" y="1279966"/>
              </a:lnTo>
              <a:lnTo>
                <a:pt x="5434508" y="1277817"/>
              </a:lnTo>
              <a:lnTo>
                <a:pt x="5428797" y="1277525"/>
              </a:lnTo>
              <a:lnTo>
                <a:pt x="5386208" y="1277009"/>
              </a:lnTo>
              <a:lnTo>
                <a:pt x="5344102" y="1276840"/>
              </a:lnTo>
              <a:lnTo>
                <a:pt x="5317568" y="1276861"/>
              </a:lnTo>
              <a:lnTo>
                <a:pt x="5287486" y="1276957"/>
              </a:lnTo>
              <a:lnTo>
                <a:pt x="5253519" y="1276967"/>
              </a:lnTo>
              <a:lnTo>
                <a:pt x="5215331" y="1276734"/>
              </a:lnTo>
              <a:lnTo>
                <a:pt x="5172992" y="1276258"/>
              </a:lnTo>
              <a:lnTo>
                <a:pt x="5126628" y="1275610"/>
              </a:lnTo>
              <a:lnTo>
                <a:pt x="5075988" y="1274734"/>
              </a:lnTo>
              <a:lnTo>
                <a:pt x="5020818" y="1273576"/>
              </a:lnTo>
              <a:lnTo>
                <a:pt x="4973361" y="1272435"/>
              </a:lnTo>
              <a:lnTo>
                <a:pt x="4923038" y="1271122"/>
              </a:lnTo>
              <a:lnTo>
                <a:pt x="4869881" y="1269642"/>
              </a:lnTo>
              <a:lnTo>
                <a:pt x="4813920" y="1267996"/>
              </a:lnTo>
              <a:lnTo>
                <a:pt x="4755188" y="1266189"/>
              </a:lnTo>
              <a:lnTo>
                <a:pt x="4711474" y="1264792"/>
              </a:lnTo>
              <a:lnTo>
                <a:pt x="4666246" y="1263303"/>
              </a:lnTo>
              <a:lnTo>
                <a:pt x="4619570" y="1261728"/>
              </a:lnTo>
              <a:lnTo>
                <a:pt x="4571515" y="1260074"/>
              </a:lnTo>
              <a:lnTo>
                <a:pt x="4522146" y="1258347"/>
              </a:lnTo>
              <a:lnTo>
                <a:pt x="4471530" y="1256554"/>
              </a:lnTo>
              <a:lnTo>
                <a:pt x="4419736" y="1254703"/>
              </a:lnTo>
              <a:lnTo>
                <a:pt x="4373335" y="1253048"/>
              </a:lnTo>
              <a:lnTo>
                <a:pt x="4325822" y="1251364"/>
              </a:lnTo>
              <a:lnTo>
                <a:pt x="4277281" y="1249636"/>
              </a:lnTo>
              <a:lnTo>
                <a:pt x="4227797" y="1247852"/>
              </a:lnTo>
              <a:lnTo>
                <a:pt x="4177455" y="1245997"/>
              </a:lnTo>
              <a:lnTo>
                <a:pt x="4126338" y="1244060"/>
              </a:lnTo>
              <a:lnTo>
                <a:pt x="4074531" y="1242025"/>
              </a:lnTo>
              <a:lnTo>
                <a:pt x="4022118" y="1239880"/>
              </a:lnTo>
              <a:lnTo>
                <a:pt x="3974816" y="1237877"/>
              </a:lnTo>
              <a:lnTo>
                <a:pt x="3926666" y="1235794"/>
              </a:lnTo>
              <a:lnTo>
                <a:pt x="3877795" y="1233635"/>
              </a:lnTo>
              <a:lnTo>
                <a:pt x="3828336" y="1231406"/>
              </a:lnTo>
              <a:lnTo>
                <a:pt x="3778416" y="1229114"/>
              </a:lnTo>
              <a:lnTo>
                <a:pt x="3728165" y="1226764"/>
              </a:lnTo>
              <a:lnTo>
                <a:pt x="3677715" y="1224363"/>
              </a:lnTo>
              <a:lnTo>
                <a:pt x="3627193" y="1221915"/>
              </a:lnTo>
              <a:lnTo>
                <a:pt x="3576731" y="1219427"/>
              </a:lnTo>
              <a:lnTo>
                <a:pt x="3526086" y="1216897"/>
              </a:lnTo>
              <a:lnTo>
                <a:pt x="3475008" y="1214316"/>
              </a:lnTo>
              <a:lnTo>
                <a:pt x="3423613" y="1211685"/>
              </a:lnTo>
              <a:lnTo>
                <a:pt x="3372017" y="1209001"/>
              </a:lnTo>
              <a:lnTo>
                <a:pt x="3320337" y="1206265"/>
              </a:lnTo>
              <a:lnTo>
                <a:pt x="3268690" y="1203475"/>
              </a:lnTo>
              <a:lnTo>
                <a:pt x="3217190" y="1200632"/>
              </a:lnTo>
              <a:lnTo>
                <a:pt x="3165955" y="1197733"/>
              </a:lnTo>
              <a:lnTo>
                <a:pt x="3115101" y="1194779"/>
              </a:lnTo>
              <a:lnTo>
                <a:pt x="3064412" y="1191756"/>
              </a:lnTo>
              <a:lnTo>
                <a:pt x="3013666" y="1188661"/>
              </a:lnTo>
              <a:lnTo>
                <a:pt x="2962965" y="1185502"/>
              </a:lnTo>
              <a:lnTo>
                <a:pt x="2912412" y="1182290"/>
              </a:lnTo>
              <a:lnTo>
                <a:pt x="2862110" y="1179032"/>
              </a:lnTo>
              <a:lnTo>
                <a:pt x="2812163" y="1175739"/>
              </a:lnTo>
              <a:lnTo>
                <a:pt x="2762673" y="1172420"/>
              </a:lnTo>
              <a:lnTo>
                <a:pt x="2713744" y="1169084"/>
              </a:lnTo>
              <a:lnTo>
                <a:pt x="2665478" y="1165740"/>
              </a:lnTo>
              <a:lnTo>
                <a:pt x="2611716" y="1161929"/>
              </a:lnTo>
              <a:lnTo>
                <a:pt x="2558299" y="1158038"/>
              </a:lnTo>
              <a:lnTo>
                <a:pt x="2505366" y="1154096"/>
              </a:lnTo>
              <a:lnTo>
                <a:pt x="2453060" y="1150130"/>
              </a:lnTo>
              <a:lnTo>
                <a:pt x="2401520" y="1146169"/>
              </a:lnTo>
              <a:lnTo>
                <a:pt x="2350888" y="1142238"/>
              </a:lnTo>
              <a:lnTo>
                <a:pt x="2301305" y="1138367"/>
              </a:lnTo>
              <a:lnTo>
                <a:pt x="2252912" y="1134584"/>
              </a:lnTo>
              <a:lnTo>
                <a:pt x="2198906" y="1130344"/>
              </a:lnTo>
              <a:lnTo>
                <a:pt x="2146071" y="1126154"/>
              </a:lnTo>
              <a:lnTo>
                <a:pt x="2094464" y="1122016"/>
              </a:lnTo>
              <a:lnTo>
                <a:pt x="2044143" y="1117934"/>
              </a:lnTo>
              <a:lnTo>
                <a:pt x="1995163" y="1113910"/>
              </a:lnTo>
              <a:lnTo>
                <a:pt x="1947582" y="1109946"/>
              </a:lnTo>
              <a:lnTo>
                <a:pt x="1901457" y="1106045"/>
              </a:lnTo>
              <a:lnTo>
                <a:pt x="1849456" y="1101558"/>
              </a:lnTo>
              <a:lnTo>
                <a:pt x="1799336" y="1097134"/>
              </a:lnTo>
              <a:lnTo>
                <a:pt x="1751093" y="1092791"/>
              </a:lnTo>
              <a:lnTo>
                <a:pt x="1704726" y="1088547"/>
              </a:lnTo>
              <a:lnTo>
                <a:pt x="1660234" y="1084420"/>
              </a:lnTo>
              <a:lnTo>
                <a:pt x="1617614" y="1080427"/>
              </a:lnTo>
              <a:lnTo>
                <a:pt x="1557390" y="1074641"/>
              </a:lnTo>
              <a:lnTo>
                <a:pt x="1501513" y="1069094"/>
              </a:lnTo>
              <a:lnTo>
                <a:pt x="1449593" y="1063857"/>
              </a:lnTo>
              <a:lnTo>
                <a:pt x="1401243" y="1059003"/>
              </a:lnTo>
              <a:lnTo>
                <a:pt x="1356691" y="1054587"/>
              </a:lnTo>
              <a:lnTo>
                <a:pt x="1316034" y="1050558"/>
              </a:lnTo>
              <a:lnTo>
                <a:pt x="1278682" y="1046830"/>
              </a:lnTo>
              <a:lnTo>
                <a:pt x="1244045" y="1043320"/>
              </a:lnTo>
              <a:lnTo>
                <a:pt x="1212281" y="1040009"/>
              </a:lnTo>
              <a:lnTo>
                <a:pt x="1183601" y="1036943"/>
              </a:lnTo>
              <a:lnTo>
                <a:pt x="1157490" y="1034124"/>
              </a:lnTo>
              <a:lnTo>
                <a:pt x="1133432" y="1031552"/>
              </a:lnTo>
              <a:lnTo>
                <a:pt x="1092203" y="1027193"/>
              </a:lnTo>
              <a:lnTo>
                <a:pt x="1043677" y="1022366"/>
              </a:lnTo>
              <a:lnTo>
                <a:pt x="1018676" y="1020232"/>
              </a:lnTo>
              <a:lnTo>
                <a:pt x="1007508" y="1019240"/>
              </a:lnTo>
              <a:lnTo>
                <a:pt x="997132" y="1018234"/>
              </a:lnTo>
              <a:lnTo>
                <a:pt x="987733" y="1017274"/>
              </a:lnTo>
              <a:lnTo>
                <a:pt x="979043" y="1016371"/>
              </a:lnTo>
              <a:lnTo>
                <a:pt x="970794" y="1015536"/>
              </a:lnTo>
              <a:lnTo>
                <a:pt x="926762" y="1011595"/>
              </a:lnTo>
              <a:lnTo>
                <a:pt x="920134" y="1011156"/>
              </a:lnTo>
              <a:lnTo>
                <a:pt x="913506" y="1010717"/>
              </a:lnTo>
              <a:lnTo>
                <a:pt x="907929" y="1010445"/>
              </a:lnTo>
              <a:lnTo>
                <a:pt x="902796" y="1010225"/>
              </a:lnTo>
              <a:lnTo>
                <a:pt x="897662" y="1010006"/>
              </a:lnTo>
              <a:lnTo>
                <a:pt x="892844" y="1009372"/>
              </a:lnTo>
              <a:lnTo>
                <a:pt x="880415" y="1015115"/>
              </a:lnTo>
              <a:lnTo>
                <a:pt x="880709" y="1018447"/>
              </a:lnTo>
              <a:lnTo>
                <a:pt x="881552" y="1022332"/>
              </a:lnTo>
              <a:lnTo>
                <a:pt x="882396" y="1026217"/>
              </a:lnTo>
              <a:lnTo>
                <a:pt x="883921" y="1030598"/>
              </a:lnTo>
              <a:lnTo>
                <a:pt x="886771" y="1036344"/>
              </a:lnTo>
              <a:lnTo>
                <a:pt x="889621" y="1042091"/>
              </a:lnTo>
              <a:lnTo>
                <a:pt x="894204" y="1049221"/>
              </a:lnTo>
              <a:lnTo>
                <a:pt x="898654" y="1056811"/>
              </a:lnTo>
              <a:lnTo>
                <a:pt x="901987" y="1062726"/>
              </a:lnTo>
              <a:lnTo>
                <a:pt x="905438" y="1068980"/>
              </a:lnTo>
              <a:lnTo>
                <a:pt x="909201" y="1075419"/>
              </a:lnTo>
              <a:lnTo>
                <a:pt x="935337" y="1108241"/>
              </a:lnTo>
              <a:lnTo>
                <a:pt x="961875" y="1135618"/>
              </a:lnTo>
              <a:lnTo>
                <a:pt x="995962" y="1163711"/>
              </a:lnTo>
              <a:lnTo>
                <a:pt x="1039374" y="1190626"/>
              </a:lnTo>
              <a:lnTo>
                <a:pt x="1081828" y="1209667"/>
              </a:lnTo>
              <a:lnTo>
                <a:pt x="1132595" y="1226780"/>
              </a:lnTo>
              <a:lnTo>
                <a:pt x="1171857" y="1237018"/>
              </a:lnTo>
              <a:lnTo>
                <a:pt x="1216687" y="1246356"/>
              </a:lnTo>
              <a:lnTo>
                <a:pt x="1266893" y="1254605"/>
              </a:lnTo>
              <a:lnTo>
                <a:pt x="1323148" y="1261544"/>
              </a:lnTo>
              <a:lnTo>
                <a:pt x="1383866" y="1267296"/>
              </a:lnTo>
              <a:lnTo>
                <a:pt x="1448021" y="1271856"/>
              </a:lnTo>
              <a:lnTo>
                <a:pt x="1514613" y="1275381"/>
              </a:lnTo>
              <a:lnTo>
                <a:pt x="1582549" y="1277976"/>
              </a:lnTo>
              <a:lnTo>
                <a:pt x="1651090" y="1279788"/>
              </a:lnTo>
              <a:lnTo>
                <a:pt x="1719396" y="1280960"/>
              </a:lnTo>
              <a:lnTo>
                <a:pt x="1786681" y="1281608"/>
              </a:lnTo>
              <a:lnTo>
                <a:pt x="1852475" y="1281970"/>
              </a:lnTo>
              <a:lnTo>
                <a:pt x="1884415" y="1281981"/>
              </a:lnTo>
              <a:lnTo>
                <a:pt x="1914986" y="1281825"/>
              </a:lnTo>
              <a:lnTo>
                <a:pt x="1972289" y="1280911"/>
              </a:lnTo>
              <a:lnTo>
                <a:pt x="2024320" y="1279583"/>
              </a:lnTo>
              <a:lnTo>
                <a:pt x="2070270" y="1278185"/>
              </a:lnTo>
              <a:lnTo>
                <a:pt x="2110444" y="1276492"/>
              </a:lnTo>
              <a:lnTo>
                <a:pt x="2160000" y="1273069"/>
              </a:lnTo>
              <a:lnTo>
                <a:pt x="2206133" y="1268389"/>
              </a:lnTo>
              <a:lnTo>
                <a:pt x="2221077" y="1264597"/>
              </a:lnTo>
              <a:lnTo>
                <a:pt x="2215665" y="1263505"/>
              </a:lnTo>
              <a:lnTo>
                <a:pt x="2165437" y="1260262"/>
              </a:lnTo>
              <a:lnTo>
                <a:pt x="2128293" y="1259464"/>
              </a:lnTo>
              <a:lnTo>
                <a:pt x="2106038" y="1258988"/>
              </a:lnTo>
              <a:lnTo>
                <a:pt x="2081244" y="1258398"/>
              </a:lnTo>
              <a:lnTo>
                <a:pt x="2053943" y="1257743"/>
              </a:lnTo>
              <a:lnTo>
                <a:pt x="2024289" y="1257063"/>
              </a:lnTo>
              <a:lnTo>
                <a:pt x="1958348" y="1255744"/>
              </a:lnTo>
              <a:lnTo>
                <a:pt x="1883418" y="1254443"/>
              </a:lnTo>
              <a:lnTo>
                <a:pt x="1842852" y="1253835"/>
              </a:lnTo>
              <a:lnTo>
                <a:pt x="1800006" y="1253337"/>
              </a:lnTo>
              <a:lnTo>
                <a:pt x="1754905" y="1252915"/>
              </a:lnTo>
              <a:lnTo>
                <a:pt x="1708110" y="1252425"/>
              </a:lnTo>
              <a:lnTo>
                <a:pt x="1660180" y="1251721"/>
              </a:lnTo>
              <a:lnTo>
                <a:pt x="1610718" y="1250727"/>
              </a:lnTo>
              <a:lnTo>
                <a:pt x="1559608" y="1249534"/>
              </a:lnTo>
              <a:lnTo>
                <a:pt x="1507830" y="1248242"/>
              </a:lnTo>
              <a:lnTo>
                <a:pt x="1456363" y="1246951"/>
              </a:lnTo>
              <a:lnTo>
                <a:pt x="1405012" y="1245651"/>
              </a:lnTo>
              <a:lnTo>
                <a:pt x="1353407" y="1244300"/>
              </a:lnTo>
              <a:lnTo>
                <a:pt x="1302266" y="1242953"/>
              </a:lnTo>
              <a:lnTo>
                <a:pt x="1252311" y="1241665"/>
              </a:lnTo>
              <a:lnTo>
                <a:pt x="1203312" y="1240432"/>
              </a:lnTo>
              <a:lnTo>
                <a:pt x="1155028" y="1239232"/>
              </a:lnTo>
              <a:lnTo>
                <a:pt x="1108151" y="1238086"/>
              </a:lnTo>
              <a:lnTo>
                <a:pt x="1063379" y="1237018"/>
              </a:lnTo>
              <a:lnTo>
                <a:pt x="1020658" y="1236028"/>
              </a:lnTo>
              <a:lnTo>
                <a:pt x="979697" y="1235107"/>
              </a:lnTo>
              <a:lnTo>
                <a:pt x="940833" y="1234258"/>
              </a:lnTo>
              <a:lnTo>
                <a:pt x="870487" y="1232782"/>
              </a:lnTo>
              <a:lnTo>
                <a:pt x="809620" y="1231599"/>
              </a:lnTo>
              <a:lnTo>
                <a:pt x="782566" y="1231100"/>
              </a:lnTo>
              <a:lnTo>
                <a:pt x="757590" y="1230627"/>
              </a:lnTo>
              <a:lnTo>
                <a:pt x="734770" y="1230193"/>
              </a:lnTo>
              <a:lnTo>
                <a:pt x="714398" y="1229864"/>
              </a:lnTo>
              <a:lnTo>
                <a:pt x="696770" y="1229703"/>
              </a:lnTo>
              <a:lnTo>
                <a:pt x="681916" y="1229714"/>
              </a:lnTo>
              <a:lnTo>
                <a:pt x="645433" y="1231846"/>
              </a:lnTo>
              <a:lnTo>
                <a:pt x="652982" y="1234239"/>
              </a:lnTo>
              <a:lnTo>
                <a:pt x="698596" y="1245010"/>
              </a:lnTo>
              <a:lnTo>
                <a:pt x="741610" y="1252090"/>
              </a:lnTo>
              <a:lnTo>
                <a:pt x="768223" y="1256167"/>
              </a:lnTo>
              <a:lnTo>
                <a:pt x="798324" y="1260785"/>
              </a:lnTo>
              <a:lnTo>
                <a:pt x="832169" y="1265963"/>
              </a:lnTo>
              <a:lnTo>
                <a:pt x="869643" y="1271634"/>
              </a:lnTo>
              <a:lnTo>
                <a:pt x="910262" y="1277805"/>
              </a:lnTo>
              <a:lnTo>
                <a:pt x="953538" y="1284478"/>
              </a:lnTo>
              <a:lnTo>
                <a:pt x="999920" y="1291726"/>
              </a:lnTo>
              <a:lnTo>
                <a:pt x="1049475" y="1299521"/>
              </a:lnTo>
              <a:lnTo>
                <a:pt x="1101144" y="1307726"/>
              </a:lnTo>
              <a:lnTo>
                <a:pt x="1153870" y="1316205"/>
              </a:lnTo>
              <a:lnTo>
                <a:pt x="1208171" y="1325065"/>
              </a:lnTo>
              <a:lnTo>
                <a:pt x="1264345" y="1334330"/>
              </a:lnTo>
              <a:lnTo>
                <a:pt x="1320999" y="1343741"/>
              </a:lnTo>
              <a:lnTo>
                <a:pt x="1376741" y="1353035"/>
              </a:lnTo>
              <a:lnTo>
                <a:pt x="1431848" y="1362232"/>
              </a:lnTo>
              <a:lnTo>
                <a:pt x="1486847" y="1371442"/>
              </a:lnTo>
              <a:lnTo>
                <a:pt x="1540718" y="1380539"/>
              </a:lnTo>
              <a:lnTo>
                <a:pt x="1592443" y="1389395"/>
              </a:lnTo>
              <a:lnTo>
                <a:pt x="1642182" y="1398045"/>
              </a:lnTo>
              <a:lnTo>
                <a:pt x="1690333" y="1406536"/>
              </a:lnTo>
              <a:lnTo>
                <a:pt x="1736238" y="1414751"/>
              </a:lnTo>
              <a:lnTo>
                <a:pt x="1779238" y="1422579"/>
              </a:lnTo>
              <a:lnTo>
                <a:pt x="1819254" y="1430042"/>
              </a:lnTo>
              <a:lnTo>
                <a:pt x="1891231" y="1443918"/>
              </a:lnTo>
              <a:lnTo>
                <a:pt x="1951974" y="1455831"/>
              </a:lnTo>
              <a:lnTo>
                <a:pt x="2001485" y="1465781"/>
              </a:lnTo>
              <a:lnTo>
                <a:pt x="2041438" y="1474232"/>
              </a:lnTo>
              <a:lnTo>
                <a:pt x="2083017" y="1484779"/>
              </a:lnTo>
              <a:lnTo>
                <a:pt x="2100678" y="1500559"/>
              </a:lnTo>
              <a:lnTo>
                <a:pt x="2098588" y="1504820"/>
              </a:lnTo>
              <a:lnTo>
                <a:pt x="2062788" y="1524995"/>
              </a:lnTo>
              <a:lnTo>
                <a:pt x="2005450" y="1545673"/>
              </a:lnTo>
              <a:lnTo>
                <a:pt x="1951822" y="1562447"/>
              </a:lnTo>
              <a:lnTo>
                <a:pt x="1888083" y="1581400"/>
              </a:lnTo>
              <a:lnTo>
                <a:pt x="1815823" y="1602572"/>
              </a:lnTo>
              <a:lnTo>
                <a:pt x="1776771" y="1613849"/>
              </a:lnTo>
              <a:lnTo>
                <a:pt x="1736524" y="1625369"/>
              </a:lnTo>
              <a:lnTo>
                <a:pt x="1694871" y="1637162"/>
              </a:lnTo>
              <a:lnTo>
                <a:pt x="1651632" y="1649292"/>
              </a:lnTo>
              <a:lnTo>
                <a:pt x="1607417" y="1661638"/>
              </a:lnTo>
              <a:lnTo>
                <a:pt x="1562838" y="1674083"/>
              </a:lnTo>
              <a:lnTo>
                <a:pt x="1517617" y="1686642"/>
              </a:lnTo>
              <a:lnTo>
                <a:pt x="1471576" y="1699365"/>
              </a:lnTo>
              <a:lnTo>
                <a:pt x="1425471" y="1712173"/>
              </a:lnTo>
              <a:lnTo>
                <a:pt x="1380062" y="1724989"/>
              </a:lnTo>
              <a:lnTo>
                <a:pt x="1335237" y="1737860"/>
              </a:lnTo>
              <a:lnTo>
                <a:pt x="1290695" y="1750804"/>
              </a:lnTo>
              <a:lnTo>
                <a:pt x="1246913" y="1763703"/>
              </a:lnTo>
              <a:lnTo>
                <a:pt x="1204363" y="1776438"/>
              </a:lnTo>
              <a:lnTo>
                <a:pt x="1162924" y="1789010"/>
              </a:lnTo>
              <a:lnTo>
                <a:pt x="1122425" y="1801472"/>
              </a:lnTo>
              <a:lnTo>
                <a:pt x="1083270" y="1813781"/>
              </a:lnTo>
              <a:lnTo>
                <a:pt x="1045864" y="1825892"/>
              </a:lnTo>
              <a:lnTo>
                <a:pt x="976200" y="1849520"/>
              </a:lnTo>
              <a:lnTo>
                <a:pt x="913184" y="1872421"/>
              </a:lnTo>
              <a:lnTo>
                <a:pt x="857044" y="1894772"/>
              </a:lnTo>
              <a:lnTo>
                <a:pt x="807866" y="1916059"/>
              </a:lnTo>
              <a:lnTo>
                <a:pt x="766005" y="1935693"/>
              </a:lnTo>
              <a:lnTo>
                <a:pt x="730891" y="1954072"/>
              </a:lnTo>
              <a:lnTo>
                <a:pt x="690386" y="1979703"/>
              </a:lnTo>
              <a:lnTo>
                <a:pt x="654564" y="2009753"/>
              </a:lnTo>
              <a:lnTo>
                <a:pt x="630408" y="2041495"/>
              </a:lnTo>
              <a:lnTo>
                <a:pt x="620911" y="2063398"/>
              </a:lnTo>
              <a:lnTo>
                <a:pt x="618701" y="2070099"/>
              </a:lnTo>
              <a:lnTo>
                <a:pt x="617816" y="2075606"/>
              </a:lnTo>
              <a:lnTo>
                <a:pt x="617146" y="2081697"/>
              </a:lnTo>
              <a:lnTo>
                <a:pt x="616475" y="2087788"/>
              </a:lnTo>
              <a:lnTo>
                <a:pt x="616403" y="2094383"/>
              </a:lnTo>
              <a:lnTo>
                <a:pt x="616886" y="2099943"/>
              </a:lnTo>
              <a:lnTo>
                <a:pt x="635574" y="2133094"/>
              </a:lnTo>
              <a:lnTo>
                <a:pt x="639878" y="2134647"/>
              </a:lnTo>
              <a:lnTo>
                <a:pt x="644148" y="2136957"/>
              </a:lnTo>
              <a:lnTo>
                <a:pt x="651820" y="2135358"/>
              </a:lnTo>
              <a:lnTo>
                <a:pt x="657856" y="2133695"/>
              </a:lnTo>
              <a:lnTo>
                <a:pt x="704248" y="2112680"/>
              </a:lnTo>
              <a:lnTo>
                <a:pt x="745411" y="2090035"/>
              </a:lnTo>
              <a:lnTo>
                <a:pt x="792972" y="2059844"/>
              </a:lnTo>
              <a:lnTo>
                <a:pt x="826560" y="2036550"/>
              </a:lnTo>
              <a:lnTo>
                <a:pt x="860561" y="2011204"/>
              </a:lnTo>
              <a:lnTo>
                <a:pt x="893635" y="1984391"/>
              </a:lnTo>
              <a:lnTo>
                <a:pt x="925913" y="1956123"/>
              </a:lnTo>
              <a:lnTo>
                <a:pt x="957362" y="1926437"/>
              </a:lnTo>
              <a:lnTo>
                <a:pt x="987142" y="1895843"/>
              </a:lnTo>
              <a:lnTo>
                <a:pt x="1014458" y="1864808"/>
              </a:lnTo>
              <a:lnTo>
                <a:pt x="1039141" y="1833494"/>
              </a:lnTo>
              <a:lnTo>
                <a:pt x="1070439" y="1786787"/>
              </a:lnTo>
              <a:lnTo>
                <a:pt x="1094402" y="1738469"/>
              </a:lnTo>
              <a:lnTo>
                <a:pt x="1112073" y="1690307"/>
              </a:lnTo>
              <a:lnTo>
                <a:pt x="1124734" y="1644498"/>
              </a:lnTo>
              <a:lnTo>
                <a:pt x="1132991" y="1602022"/>
              </a:lnTo>
              <a:lnTo>
                <a:pt x="1137857" y="1562786"/>
              </a:lnTo>
              <a:lnTo>
                <a:pt x="1140547" y="1515720"/>
              </a:lnTo>
              <a:lnTo>
                <a:pt x="1140689" y="1505024"/>
              </a:lnTo>
              <a:lnTo>
                <a:pt x="1140607" y="1495059"/>
              </a:lnTo>
              <a:lnTo>
                <a:pt x="1135597" y="1454229"/>
              </a:lnTo>
              <a:lnTo>
                <a:pt x="1121146" y="1445983"/>
              </a:lnTo>
              <a:lnTo>
                <a:pt x="1115588" y="1446279"/>
              </a:lnTo>
              <a:lnTo>
                <a:pt x="1072018" y="1468599"/>
              </a:lnTo>
              <a:lnTo>
                <a:pt x="1035013" y="1496909"/>
              </a:lnTo>
              <a:lnTo>
                <a:pt x="991529" y="1533882"/>
              </a:lnTo>
              <a:lnTo>
                <a:pt x="959272" y="1562477"/>
              </a:lnTo>
              <a:lnTo>
                <a:pt x="926050" y="1593189"/>
              </a:lnTo>
              <a:lnTo>
                <a:pt x="891862" y="1626020"/>
              </a:lnTo>
              <a:lnTo>
                <a:pt x="874905" y="1642389"/>
              </a:lnTo>
              <a:lnTo>
                <a:pt x="858033" y="1658663"/>
              </a:lnTo>
              <a:lnTo>
                <a:pt x="824564" y="1691119"/>
              </a:lnTo>
              <a:lnTo>
                <a:pt x="792903" y="1721938"/>
              </a:lnTo>
              <a:lnTo>
                <a:pt x="763051" y="1751119"/>
              </a:lnTo>
              <a:lnTo>
                <a:pt x="724116" y="1790346"/>
              </a:lnTo>
              <a:lnTo>
                <a:pt x="712685" y="1802128"/>
              </a:lnTo>
              <a:lnTo>
                <a:pt x="702036" y="1813039"/>
              </a:lnTo>
              <a:lnTo>
                <a:pt x="692141" y="1823193"/>
              </a:lnTo>
              <a:lnTo>
                <a:pt x="683003" y="1832621"/>
              </a:lnTo>
              <a:lnTo>
                <a:pt x="674681" y="1841046"/>
              </a:lnTo>
              <a:lnTo>
                <a:pt x="641727" y="1864707"/>
              </a:lnTo>
              <a:lnTo>
                <a:pt x="639849" y="1860137"/>
              </a:lnTo>
              <a:lnTo>
                <a:pt x="646262" y="1819959"/>
              </a:lnTo>
              <a:lnTo>
                <a:pt x="659309" y="1772085"/>
              </a:lnTo>
              <a:lnTo>
                <a:pt x="671663" y="1731223"/>
              </a:lnTo>
              <a:lnTo>
                <a:pt x="686728" y="1683966"/>
              </a:lnTo>
              <a:lnTo>
                <a:pt x="704106" y="1631283"/>
              </a:lnTo>
              <a:lnTo>
                <a:pt x="723559" y="1573749"/>
              </a:lnTo>
              <a:lnTo>
                <a:pt x="744446" y="1513075"/>
              </a:lnTo>
              <a:lnTo>
                <a:pt x="766231" y="1450766"/>
              </a:lnTo>
              <a:lnTo>
                <a:pt x="788360" y="1388007"/>
              </a:lnTo>
              <a:lnTo>
                <a:pt x="810342" y="1325803"/>
              </a:lnTo>
              <a:lnTo>
                <a:pt x="831458" y="1266190"/>
              </a:lnTo>
              <a:lnTo>
                <a:pt x="841315" y="1238332"/>
              </a:lnTo>
              <a:lnTo>
                <a:pt x="859883" y="1185890"/>
              </a:lnTo>
              <a:lnTo>
                <a:pt x="876508" y="1139266"/>
              </a:lnTo>
              <a:lnTo>
                <a:pt x="891190" y="1098459"/>
              </a:lnTo>
              <a:lnTo>
                <a:pt x="909062" y="1050255"/>
              </a:lnTo>
              <a:lnTo>
                <a:pt x="927586" y="1012975"/>
              </a:lnTo>
              <a:lnTo>
                <a:pt x="929041" y="1015261"/>
              </a:lnTo>
              <a:lnTo>
                <a:pt x="929675" y="1018448"/>
              </a:lnTo>
              <a:lnTo>
                <a:pt x="929459" y="1024274"/>
              </a:lnTo>
              <a:lnTo>
                <a:pt x="921348" y="1067004"/>
              </a:lnTo>
              <a:lnTo>
                <a:pt x="913642" y="1098645"/>
              </a:lnTo>
              <a:lnTo>
                <a:pt x="909278" y="1116633"/>
              </a:lnTo>
              <a:lnTo>
                <a:pt x="899330" y="1156950"/>
              </a:lnTo>
              <a:lnTo>
                <a:pt x="888154" y="1200732"/>
              </a:lnTo>
              <a:lnTo>
                <a:pt x="875750" y="1247981"/>
              </a:lnTo>
              <a:lnTo>
                <a:pt x="869411" y="1272444"/>
              </a:lnTo>
              <a:lnTo>
                <a:pt x="863052" y="1297516"/>
              </a:lnTo>
              <a:lnTo>
                <a:pt x="856598" y="1323263"/>
              </a:lnTo>
              <a:lnTo>
                <a:pt x="850061" y="1349337"/>
              </a:lnTo>
              <a:lnTo>
                <a:pt x="843454" y="1375393"/>
              </a:lnTo>
              <a:lnTo>
                <a:pt x="836659" y="1401541"/>
              </a:lnTo>
              <a:lnTo>
                <a:pt x="829708" y="1427899"/>
              </a:lnTo>
              <a:lnTo>
                <a:pt x="822847" y="1454129"/>
              </a:lnTo>
              <a:lnTo>
                <a:pt x="810118" y="1505311"/>
              </a:lnTo>
              <a:lnTo>
                <a:pt x="798471" y="1555088"/>
              </a:lnTo>
              <a:lnTo>
                <a:pt x="788356" y="1601513"/>
              </a:lnTo>
              <a:lnTo>
                <a:pt x="779773" y="1644587"/>
              </a:lnTo>
              <a:lnTo>
                <a:pt x="772685" y="1683097"/>
              </a:lnTo>
              <a:lnTo>
                <a:pt x="764751" y="1732244"/>
              </a:lnTo>
              <a:lnTo>
                <a:pt x="759233" y="1770982"/>
              </a:lnTo>
              <a:lnTo>
                <a:pt x="757915" y="1789994"/>
              </a:lnTo>
              <a:lnTo>
                <a:pt x="757941" y="1797460"/>
              </a:lnTo>
              <a:lnTo>
                <a:pt x="758654" y="1803371"/>
              </a:lnTo>
              <a:lnTo>
                <a:pt x="760297" y="1807518"/>
              </a:lnTo>
              <a:lnTo>
                <a:pt x="763216" y="1811775"/>
              </a:lnTo>
              <a:lnTo>
                <a:pt x="768621" y="1812199"/>
              </a:lnTo>
              <a:lnTo>
                <a:pt x="775846" y="1806728"/>
              </a:lnTo>
              <a:lnTo>
                <a:pt x="803647" y="1774692"/>
              </a:lnTo>
              <a:lnTo>
                <a:pt x="833225" y="1732982"/>
              </a:lnTo>
              <a:lnTo>
                <a:pt x="855531" y="1698272"/>
              </a:lnTo>
              <a:lnTo>
                <a:pt x="879625" y="1658309"/>
              </a:lnTo>
              <a:lnTo>
                <a:pt x="905593" y="1614028"/>
              </a:lnTo>
              <a:lnTo>
                <a:pt x="933434" y="1565429"/>
              </a:lnTo>
              <a:lnTo>
                <a:pt x="961428" y="1516043"/>
              </a:lnTo>
              <a:lnTo>
                <a:pt x="989575" y="1465870"/>
              </a:lnTo>
              <a:lnTo>
                <a:pt x="1016140" y="1418061"/>
              </a:lnTo>
              <a:lnTo>
                <a:pt x="1041124" y="1372617"/>
              </a:lnTo>
              <a:lnTo>
                <a:pt x="1064079" y="1330485"/>
              </a:lnTo>
              <a:lnTo>
                <a:pt x="1085007" y="1291664"/>
              </a:lnTo>
              <a:lnTo>
                <a:pt x="1103066" y="1257507"/>
              </a:lnTo>
              <a:lnTo>
                <a:pt x="1124843" y="1214908"/>
              </a:lnTo>
              <a:lnTo>
                <a:pt x="1140459" y="1181876"/>
              </a:lnTo>
              <a:lnTo>
                <a:pt x="1144511" y="1173350"/>
              </a:lnTo>
              <a:lnTo>
                <a:pt x="1149614" y="1162942"/>
              </a:lnTo>
              <a:lnTo>
                <a:pt x="1153658" y="1155219"/>
              </a:lnTo>
              <a:lnTo>
                <a:pt x="1155460" y="1152460"/>
              </a:lnTo>
              <a:lnTo>
                <a:pt x="1157263" y="1149701"/>
              </a:lnTo>
              <a:lnTo>
                <a:pt x="1147125" y="1175520"/>
              </a:lnTo>
              <a:lnTo>
                <a:pt x="1143191" y="1184350"/>
              </a:lnTo>
              <a:lnTo>
                <a:pt x="1138785" y="1194502"/>
              </a:lnTo>
              <a:lnTo>
                <a:pt x="1133832" y="1206000"/>
              </a:lnTo>
              <a:lnTo>
                <a:pt x="1128324" y="1218533"/>
              </a:lnTo>
              <a:lnTo>
                <a:pt x="1122255" y="1231788"/>
              </a:lnTo>
              <a:lnTo>
                <a:pt x="1115513" y="1245844"/>
              </a:lnTo>
              <a:lnTo>
                <a:pt x="1108139" y="1260812"/>
              </a:lnTo>
              <a:lnTo>
                <a:pt x="1100353" y="1276433"/>
              </a:lnTo>
              <a:lnTo>
                <a:pt x="1092374" y="1292444"/>
              </a:lnTo>
              <a:lnTo>
                <a:pt x="1067069" y="1343235"/>
              </a:lnTo>
              <a:lnTo>
                <a:pt x="1049160" y="1378504"/>
              </a:lnTo>
              <a:lnTo>
                <a:pt x="1030480" y="1414701"/>
              </a:lnTo>
              <a:lnTo>
                <a:pt x="1021294" y="1432581"/>
              </a:lnTo>
              <a:lnTo>
                <a:pt x="1003212" y="1467988"/>
              </a:lnTo>
              <a:lnTo>
                <a:pt x="985985" y="1502086"/>
              </a:lnTo>
              <a:lnTo>
                <a:pt x="962852" y="1549217"/>
              </a:lnTo>
              <a:lnTo>
                <a:pt x="955875" y="1563466"/>
              </a:lnTo>
              <a:lnTo>
                <a:pt x="949276" y="1576804"/>
              </a:lnTo>
              <a:lnTo>
                <a:pt x="943042" y="1589339"/>
              </a:lnTo>
              <a:lnTo>
                <a:pt x="937222" y="1601064"/>
              </a:lnTo>
              <a:lnTo>
                <a:pt x="918582" y="1639624"/>
              </a:lnTo>
              <a:lnTo>
                <a:pt x="906759" y="1666719"/>
              </a:lnTo>
              <a:lnTo>
                <a:pt x="904535" y="1671911"/>
              </a:lnTo>
              <a:lnTo>
                <a:pt x="901615" y="1678473"/>
              </a:lnTo>
              <a:lnTo>
                <a:pt x="899068" y="1683048"/>
              </a:lnTo>
              <a:lnTo>
                <a:pt x="897462" y="1686780"/>
              </a:lnTo>
              <a:lnTo>
                <a:pt x="895856" y="1690513"/>
              </a:lnTo>
              <a:lnTo>
                <a:pt x="893143" y="1693702"/>
              </a:lnTo>
              <a:lnTo>
                <a:pt x="894898" y="1694305"/>
              </a:lnTo>
              <a:lnTo>
                <a:pt x="931143" y="1679764"/>
              </a:lnTo>
              <a:lnTo>
                <a:pt x="965086" y="1663266"/>
              </a:lnTo>
              <a:lnTo>
                <a:pt x="978762" y="1656654"/>
              </a:lnTo>
              <a:lnTo>
                <a:pt x="1026867" y="1635622"/>
              </a:lnTo>
              <a:lnTo>
                <a:pt x="1064337" y="1621046"/>
              </a:lnTo>
              <a:lnTo>
                <a:pt x="1106021" y="1606994"/>
              </a:lnTo>
              <a:lnTo>
                <a:pt x="1150118" y="1593584"/>
              </a:lnTo>
              <a:lnTo>
                <a:pt x="1195296" y="1581122"/>
              </a:lnTo>
              <a:lnTo>
                <a:pt x="1240173" y="1569865"/>
              </a:lnTo>
              <a:lnTo>
                <a:pt x="1283167" y="1560215"/>
              </a:lnTo>
              <a:lnTo>
                <a:pt x="1323541" y="1552050"/>
              </a:lnTo>
              <a:lnTo>
                <a:pt x="1376908" y="1542569"/>
              </a:lnTo>
              <a:lnTo>
                <a:pt x="1420716" y="1536630"/>
              </a:lnTo>
              <a:lnTo>
                <a:pt x="1444462" y="1535003"/>
              </a:lnTo>
              <a:lnTo>
                <a:pt x="1454741" y="1535123"/>
              </a:lnTo>
              <a:lnTo>
                <a:pt x="1493807" y="1551429"/>
              </a:lnTo>
              <a:lnTo>
                <a:pt x="1496210" y="1557614"/>
              </a:lnTo>
              <a:lnTo>
                <a:pt x="1482566" y="1601046"/>
              </a:lnTo>
              <a:lnTo>
                <a:pt x="1453880" y="1641010"/>
              </a:lnTo>
              <a:lnTo>
                <a:pt x="1421877" y="1675178"/>
              </a:lnTo>
              <a:lnTo>
                <a:pt x="1381401" y="1712996"/>
              </a:lnTo>
              <a:lnTo>
                <a:pt x="1349899" y="1740371"/>
              </a:lnTo>
              <a:lnTo>
                <a:pt x="1316175" y="1767711"/>
              </a:lnTo>
              <a:lnTo>
                <a:pt x="1280228" y="1795013"/>
              </a:lnTo>
              <a:lnTo>
                <a:pt x="1241579" y="1822597"/>
              </a:lnTo>
              <a:lnTo>
                <a:pt x="1200226" y="1850462"/>
              </a:lnTo>
              <a:lnTo>
                <a:pt x="1157428" y="1877200"/>
              </a:lnTo>
              <a:lnTo>
                <a:pt x="1113185" y="1902811"/>
              </a:lnTo>
              <a:lnTo>
                <a:pt x="1068700" y="1926973"/>
              </a:lnTo>
              <a:lnTo>
                <a:pt x="1023973" y="1949685"/>
              </a:lnTo>
              <a:lnTo>
                <a:pt x="980458" y="1970109"/>
              </a:lnTo>
              <a:lnTo>
                <a:pt x="938155" y="1988245"/>
              </a:lnTo>
              <a:lnTo>
                <a:pt x="898915" y="2003657"/>
              </a:lnTo>
              <a:lnTo>
                <a:pt x="862736" y="2016346"/>
              </a:lnTo>
              <a:lnTo>
                <a:pt x="815582" y="2030767"/>
              </a:lnTo>
              <a:lnTo>
                <a:pt x="777101" y="2040402"/>
              </a:lnTo>
              <a:lnTo>
                <a:pt x="739417" y="2046716"/>
              </a:lnTo>
              <a:lnTo>
                <a:pt x="732453" y="2047040"/>
              </a:lnTo>
              <a:lnTo>
                <a:pt x="726276" y="2046768"/>
              </a:lnTo>
              <a:lnTo>
                <a:pt x="720675" y="2045793"/>
              </a:lnTo>
              <a:lnTo>
                <a:pt x="713497" y="2043979"/>
              </a:lnTo>
              <a:lnTo>
                <a:pt x="708441" y="2040544"/>
              </a:lnTo>
              <a:lnTo>
                <a:pt x="704312" y="2035019"/>
              </a:lnTo>
              <a:lnTo>
                <a:pt x="700183" y="2029493"/>
              </a:lnTo>
              <a:lnTo>
                <a:pt x="693297" y="1990427"/>
              </a:lnTo>
              <a:lnTo>
                <a:pt x="692502" y="1962333"/>
              </a:lnTo>
              <a:lnTo>
                <a:pt x="692642" y="1951694"/>
              </a:lnTo>
              <a:lnTo>
                <a:pt x="696426" y="1904127"/>
              </a:lnTo>
              <a:lnTo>
                <a:pt x="702391" y="1866210"/>
              </a:lnTo>
              <a:lnTo>
                <a:pt x="711365" y="1827217"/>
              </a:lnTo>
              <a:lnTo>
                <a:pt x="723355" y="1787156"/>
              </a:lnTo>
              <a:lnTo>
                <a:pt x="727464" y="1773777"/>
              </a:lnTo>
              <a:lnTo>
                <a:pt x="740560" y="1733853"/>
              </a:lnTo>
              <a:lnTo>
                <a:pt x="755321" y="1695366"/>
              </a:lnTo>
              <a:lnTo>
                <a:pt x="772031" y="1659368"/>
              </a:lnTo>
              <a:lnTo>
                <a:pt x="794190" y="1617731"/>
              </a:lnTo>
              <a:lnTo>
                <a:pt x="799244" y="1608736"/>
              </a:lnTo>
              <a:lnTo>
                <a:pt x="803969" y="1600310"/>
              </a:lnTo>
              <a:lnTo>
                <a:pt x="808545" y="1592335"/>
              </a:lnTo>
              <a:lnTo>
                <a:pt x="812959" y="1584844"/>
              </a:lnTo>
              <a:lnTo>
                <a:pt x="816815" y="1578076"/>
              </a:lnTo>
              <a:lnTo>
                <a:pt x="819718" y="1572273"/>
              </a:lnTo>
              <a:lnTo>
                <a:pt x="822778" y="1565282"/>
              </a:lnTo>
              <a:lnTo>
                <a:pt x="825061" y="1559811"/>
              </a:lnTo>
              <a:lnTo>
                <a:pt x="822332" y="1558369"/>
              </a:lnTo>
              <a:lnTo>
                <a:pt x="819604" y="1556926"/>
              </a:lnTo>
              <a:lnTo>
                <a:pt x="776601" y="1578737"/>
              </a:lnTo>
              <a:lnTo>
                <a:pt x="739462" y="1602179"/>
              </a:lnTo>
              <a:lnTo>
                <a:pt x="694190" y="1633222"/>
              </a:lnTo>
              <a:lnTo>
                <a:pt x="660683" y="1657887"/>
              </a:lnTo>
              <a:lnTo>
                <a:pt x="626717" y="1683997"/>
              </a:lnTo>
              <a:lnTo>
                <a:pt x="592290" y="1711553"/>
              </a:lnTo>
              <a:lnTo>
                <a:pt x="558420" y="1739552"/>
              </a:lnTo>
              <a:lnTo>
                <a:pt x="525106" y="1767995"/>
              </a:lnTo>
              <a:lnTo>
                <a:pt x="494168" y="1795899"/>
              </a:lnTo>
              <a:lnTo>
                <a:pt x="465606" y="1823266"/>
              </a:lnTo>
              <a:lnTo>
                <a:pt x="428769" y="1860835"/>
              </a:lnTo>
              <a:lnTo>
                <a:pt x="399494" y="1894045"/>
              </a:lnTo>
              <a:lnTo>
                <a:pt x="372166" y="1930226"/>
              </a:lnTo>
              <a:lnTo>
                <a:pt x="356209" y="1956998"/>
              </a:lnTo>
              <a:lnTo>
                <a:pt x="358683" y="1956419"/>
              </a:lnTo>
              <a:lnTo>
                <a:pt x="361157" y="1955840"/>
              </a:lnTo>
              <a:lnTo>
                <a:pt x="396625" y="1925592"/>
              </a:lnTo>
              <a:lnTo>
                <a:pt x="427615" y="1896061"/>
              </a:lnTo>
              <a:lnTo>
                <a:pt x="439811" y="1884209"/>
              </a:lnTo>
              <a:lnTo>
                <a:pt x="452632" y="1871805"/>
              </a:lnTo>
              <a:lnTo>
                <a:pt x="466141" y="1858743"/>
              </a:lnTo>
              <a:lnTo>
                <a:pt x="480406" y="1844927"/>
              </a:lnTo>
              <a:lnTo>
                <a:pt x="495238" y="1830664"/>
              </a:lnTo>
              <a:lnTo>
                <a:pt x="526119" y="1801642"/>
              </a:lnTo>
              <a:lnTo>
                <a:pt x="558785" y="1771675"/>
              </a:lnTo>
              <a:lnTo>
                <a:pt x="592073" y="1742124"/>
              </a:lnTo>
              <a:lnTo>
                <a:pt x="625985" y="1712991"/>
              </a:lnTo>
              <a:lnTo>
                <a:pt x="658502" y="1685771"/>
              </a:lnTo>
              <a:lnTo>
                <a:pt x="689627" y="1660463"/>
              </a:lnTo>
              <a:lnTo>
                <a:pt x="730767" y="1627450"/>
              </a:lnTo>
              <a:lnTo>
                <a:pt x="764459" y="1601260"/>
              </a:lnTo>
              <a:lnTo>
                <a:pt x="799706" y="1577442"/>
              </a:lnTo>
              <a:lnTo>
                <a:pt x="806759" y="1574588"/>
              </a:lnTo>
              <a:lnTo>
                <a:pt x="812534" y="1574901"/>
              </a:lnTo>
              <a:lnTo>
                <a:pt x="818309" y="1575214"/>
              </a:lnTo>
              <a:lnTo>
                <a:pt x="829702" y="1619235"/>
              </a:lnTo>
              <a:lnTo>
                <a:pt x="829575" y="1628603"/>
              </a:lnTo>
              <a:lnTo>
                <a:pt x="825110" y="1673577"/>
              </a:lnTo>
              <a:lnTo>
                <a:pt x="818404" y="1713159"/>
              </a:lnTo>
              <a:lnTo>
                <a:pt x="812868" y="1741102"/>
              </a:lnTo>
              <a:lnTo>
                <a:pt x="810112" y="1755044"/>
              </a:lnTo>
              <a:lnTo>
                <a:pt x="807443" y="1768975"/>
              </a:lnTo>
              <a:lnTo>
                <a:pt x="804780" y="1782980"/>
              </a:lnTo>
              <a:lnTo>
                <a:pt x="802128" y="1796779"/>
              </a:lnTo>
              <a:lnTo>
                <a:pt x="799494" y="1810093"/>
              </a:lnTo>
              <a:lnTo>
                <a:pt x="796839" y="1822919"/>
              </a:lnTo>
              <a:lnTo>
                <a:pt x="794174" y="1835383"/>
              </a:lnTo>
              <a:lnTo>
                <a:pt x="791576" y="1847395"/>
              </a:lnTo>
              <a:lnTo>
                <a:pt x="789121" y="1858866"/>
              </a:lnTo>
              <a:lnTo>
                <a:pt x="780634" y="1899449"/>
              </a:lnTo>
              <a:lnTo>
                <a:pt x="775846" y="1923892"/>
              </a:lnTo>
              <a:lnTo>
                <a:pt x="774533" y="1930658"/>
              </a:lnTo>
              <a:lnTo>
                <a:pt x="772871" y="1939126"/>
              </a:lnTo>
              <a:lnTo>
                <a:pt x="771387" y="1946326"/>
              </a:lnTo>
              <a:lnTo>
                <a:pt x="770662" y="1950256"/>
              </a:lnTo>
              <a:lnTo>
                <a:pt x="769938" y="1954184"/>
              </a:lnTo>
              <a:lnTo>
                <a:pt x="769778" y="1955672"/>
              </a:lnTo>
              <a:lnTo>
                <a:pt x="770185" y="1954234"/>
              </a:lnTo>
              <a:lnTo>
                <a:pt x="770593" y="1952797"/>
              </a:lnTo>
              <a:lnTo>
                <a:pt x="771392" y="1948745"/>
              </a:lnTo>
              <a:lnTo>
                <a:pt x="773107" y="1941627"/>
              </a:lnTo>
              <a:lnTo>
                <a:pt x="774613" y="1935722"/>
              </a:lnTo>
              <a:lnTo>
                <a:pt x="776451" y="1928709"/>
              </a:lnTo>
              <a:lnTo>
                <a:pt x="778459" y="1920631"/>
              </a:lnTo>
              <a:lnTo>
                <a:pt x="786768" y="1877841"/>
              </a:lnTo>
              <a:lnTo>
                <a:pt x="792677" y="1836466"/>
              </a:lnTo>
              <a:lnTo>
                <a:pt x="797797" y="1787841"/>
              </a:lnTo>
              <a:lnTo>
                <a:pt x="801892" y="1732177"/>
              </a:lnTo>
              <a:lnTo>
                <a:pt x="804131" y="1690965"/>
              </a:lnTo>
              <a:lnTo>
                <a:pt x="805743" y="1647716"/>
              </a:lnTo>
              <a:lnTo>
                <a:pt x="806583" y="1603421"/>
              </a:lnTo>
              <a:lnTo>
                <a:pt x="806662" y="1580993"/>
              </a:lnTo>
              <a:lnTo>
                <a:pt x="806405" y="1558755"/>
              </a:lnTo>
              <a:lnTo>
                <a:pt x="804781" y="1514473"/>
              </a:lnTo>
              <a:lnTo>
                <a:pt x="802118" y="1471325"/>
              </a:lnTo>
              <a:lnTo>
                <a:pt x="798627" y="1430023"/>
              </a:lnTo>
              <a:lnTo>
                <a:pt x="794465" y="1391425"/>
              </a:lnTo>
              <a:lnTo>
                <a:pt x="787224" y="1340582"/>
              </a:lnTo>
              <a:lnTo>
                <a:pt x="780246" y="1298965"/>
              </a:lnTo>
              <a:lnTo>
                <a:pt x="771792" y="1257994"/>
              </a:lnTo>
              <a:lnTo>
                <a:pt x="745717" y="1228604"/>
              </a:lnTo>
              <a:lnTo>
                <a:pt x="739089" y="1230900"/>
              </a:lnTo>
              <a:lnTo>
                <a:pt x="702821" y="1252171"/>
              </a:lnTo>
              <a:lnTo>
                <a:pt x="667717" y="1278244"/>
              </a:lnTo>
              <a:lnTo>
                <a:pt x="637352" y="1302073"/>
              </a:lnTo>
              <a:lnTo>
                <a:pt x="606174" y="1328738"/>
              </a:lnTo>
              <a:lnTo>
                <a:pt x="595759" y="1338038"/>
              </a:lnTo>
              <a:lnTo>
                <a:pt x="585497" y="1347076"/>
              </a:lnTo>
              <a:lnTo>
                <a:pt x="575310" y="1355831"/>
              </a:lnTo>
              <a:lnTo>
                <a:pt x="565171" y="1364449"/>
              </a:lnTo>
              <a:lnTo>
                <a:pt x="555276" y="1372869"/>
              </a:lnTo>
              <a:lnTo>
                <a:pt x="545825" y="1381033"/>
              </a:lnTo>
              <a:lnTo>
                <a:pt x="536823" y="1389005"/>
              </a:lnTo>
              <a:lnTo>
                <a:pt x="528182" y="1396791"/>
              </a:lnTo>
              <a:lnTo>
                <a:pt x="519952" y="1404238"/>
              </a:lnTo>
              <a:lnTo>
                <a:pt x="512183" y="1411196"/>
              </a:lnTo>
              <a:lnTo>
                <a:pt x="504824" y="1417650"/>
              </a:lnTo>
              <a:lnTo>
                <a:pt x="497869" y="1423670"/>
              </a:lnTo>
              <a:lnTo>
                <a:pt x="491439" y="1429239"/>
              </a:lnTo>
              <a:lnTo>
                <a:pt x="485654" y="1434336"/>
              </a:lnTo>
              <a:lnTo>
                <a:pt x="478426" y="1440808"/>
              </a:lnTo>
              <a:lnTo>
                <a:pt x="472873" y="1446403"/>
              </a:lnTo>
              <a:lnTo>
                <a:pt x="468814" y="1450030"/>
              </a:lnTo>
              <a:lnTo>
                <a:pt x="464755" y="1453656"/>
              </a:lnTo>
              <a:lnTo>
                <a:pt x="462274" y="1455856"/>
              </a:lnTo>
              <a:lnTo>
                <a:pt x="461300" y="1456092"/>
              </a:lnTo>
              <a:lnTo>
                <a:pt x="460326" y="1456329"/>
              </a:lnTo>
              <a:lnTo>
                <a:pt x="461695" y="1454027"/>
              </a:lnTo>
              <a:lnTo>
                <a:pt x="462969" y="1451449"/>
              </a:lnTo>
              <a:lnTo>
                <a:pt x="464244" y="1448871"/>
              </a:lnTo>
              <a:lnTo>
                <a:pt x="466494" y="1444709"/>
              </a:lnTo>
              <a:lnTo>
                <a:pt x="468946" y="1440622"/>
              </a:lnTo>
              <a:lnTo>
                <a:pt x="471398" y="1436534"/>
              </a:lnTo>
              <a:lnTo>
                <a:pt x="474787" y="1431610"/>
              </a:lnTo>
              <a:lnTo>
                <a:pt x="477681" y="1426923"/>
              </a:lnTo>
              <a:lnTo>
                <a:pt x="480575" y="1422235"/>
              </a:lnTo>
              <a:lnTo>
                <a:pt x="483688" y="1416687"/>
              </a:lnTo>
              <a:lnTo>
                <a:pt x="486311" y="1412497"/>
              </a:lnTo>
              <a:lnTo>
                <a:pt x="488934" y="1408307"/>
              </a:lnTo>
              <a:lnTo>
                <a:pt x="491379" y="1403930"/>
              </a:lnTo>
              <a:lnTo>
                <a:pt x="493420" y="1401781"/>
              </a:lnTo>
              <a:lnTo>
                <a:pt x="495462" y="1399631"/>
              </a:lnTo>
              <a:lnTo>
                <a:pt x="497158" y="1399284"/>
              </a:lnTo>
              <a:lnTo>
                <a:pt x="498561" y="1399600"/>
              </a:lnTo>
              <a:lnTo>
                <a:pt x="499965" y="1399917"/>
              </a:lnTo>
              <a:lnTo>
                <a:pt x="500998" y="1401103"/>
              </a:lnTo>
              <a:lnTo>
                <a:pt x="501844" y="1403679"/>
              </a:lnTo>
              <a:lnTo>
                <a:pt x="502691" y="1406255"/>
              </a:lnTo>
              <a:lnTo>
                <a:pt x="503216" y="1410166"/>
              </a:lnTo>
              <a:lnTo>
                <a:pt x="503640" y="1415054"/>
              </a:lnTo>
              <a:lnTo>
                <a:pt x="504064" y="1419942"/>
              </a:lnTo>
              <a:lnTo>
                <a:pt x="504246" y="1426441"/>
              </a:lnTo>
              <a:lnTo>
                <a:pt x="504387" y="1433004"/>
              </a:lnTo>
              <a:lnTo>
                <a:pt x="504527" y="1439566"/>
              </a:lnTo>
              <a:lnTo>
                <a:pt x="504507" y="1446795"/>
              </a:lnTo>
              <a:lnTo>
                <a:pt x="504482" y="1454429"/>
              </a:lnTo>
              <a:lnTo>
                <a:pt x="504457" y="1462064"/>
              </a:lnTo>
              <a:lnTo>
                <a:pt x="504339" y="1470588"/>
              </a:lnTo>
              <a:lnTo>
                <a:pt x="504235" y="1478810"/>
              </a:lnTo>
              <a:lnTo>
                <a:pt x="504132" y="1487033"/>
              </a:lnTo>
              <a:lnTo>
                <a:pt x="503985" y="1495836"/>
              </a:lnTo>
              <a:lnTo>
                <a:pt x="503860" y="1503765"/>
              </a:lnTo>
              <a:lnTo>
                <a:pt x="503735" y="1511694"/>
              </a:lnTo>
              <a:lnTo>
                <a:pt x="503598" y="1519410"/>
              </a:lnTo>
              <a:lnTo>
                <a:pt x="503484" y="1526384"/>
              </a:lnTo>
              <a:lnTo>
                <a:pt x="503369" y="1533358"/>
              </a:lnTo>
              <a:lnTo>
                <a:pt x="503261" y="1540569"/>
              </a:lnTo>
              <a:lnTo>
                <a:pt x="503171" y="1545610"/>
              </a:lnTo>
              <a:lnTo>
                <a:pt x="503081" y="1550651"/>
              </a:lnTo>
              <a:lnTo>
                <a:pt x="503006" y="1554493"/>
              </a:lnTo>
              <a:lnTo>
                <a:pt x="502943" y="1556631"/>
              </a:lnTo>
              <a:lnTo>
                <a:pt x="502881" y="1558768"/>
              </a:lnTo>
              <a:lnTo>
                <a:pt x="502835" y="1559193"/>
              </a:lnTo>
              <a:lnTo>
                <a:pt x="502681" y="1539497"/>
              </a:lnTo>
              <a:lnTo>
                <a:pt x="502675" y="1534868"/>
              </a:lnTo>
              <a:lnTo>
                <a:pt x="502945" y="1528619"/>
              </a:lnTo>
              <a:lnTo>
                <a:pt x="502676" y="1524310"/>
              </a:lnTo>
              <a:lnTo>
                <a:pt x="502407" y="1520001"/>
              </a:lnTo>
              <a:lnTo>
                <a:pt x="502231" y="1515710"/>
              </a:lnTo>
              <a:lnTo>
                <a:pt x="501065" y="1513645"/>
              </a:lnTo>
              <a:lnTo>
                <a:pt x="499900" y="1511579"/>
              </a:lnTo>
              <a:lnTo>
                <a:pt x="497910" y="1510887"/>
              </a:lnTo>
              <a:lnTo>
                <a:pt x="495684" y="1511914"/>
              </a:lnTo>
              <a:lnTo>
                <a:pt x="493459" y="1512941"/>
              </a:lnTo>
              <a:lnTo>
                <a:pt x="490900" y="1515787"/>
              </a:lnTo>
              <a:lnTo>
                <a:pt x="487712" y="1519805"/>
              </a:lnTo>
              <a:lnTo>
                <a:pt x="484524" y="1523824"/>
              </a:lnTo>
              <a:lnTo>
                <a:pt x="480495" y="1530114"/>
              </a:lnTo>
              <a:lnTo>
                <a:pt x="476558" y="1536026"/>
              </a:lnTo>
              <a:lnTo>
                <a:pt x="472620" y="1541937"/>
              </a:lnTo>
              <a:lnTo>
                <a:pt x="468541" y="1548341"/>
              </a:lnTo>
              <a:lnTo>
                <a:pt x="464088" y="1555274"/>
              </a:lnTo>
              <a:lnTo>
                <a:pt x="460615" y="1560658"/>
              </a:lnTo>
              <a:lnTo>
                <a:pt x="456978" y="1566294"/>
              </a:lnTo>
              <a:lnTo>
                <a:pt x="453335" y="1572007"/>
              </a:lnTo>
              <a:lnTo>
                <a:pt x="449838" y="1577623"/>
              </a:lnTo>
              <a:lnTo>
                <a:pt x="445344" y="1584968"/>
              </a:lnTo>
              <a:lnTo>
                <a:pt x="441143" y="1592772"/>
              </a:lnTo>
              <a:lnTo>
                <a:pt x="437122" y="1599344"/>
              </a:lnTo>
              <a:lnTo>
                <a:pt x="418378" y="1626032"/>
              </a:lnTo>
              <a:lnTo>
                <a:pt x="415275" y="1629757"/>
              </a:lnTo>
              <a:lnTo>
                <a:pt x="412173" y="1633483"/>
              </a:lnTo>
              <a:lnTo>
                <a:pt x="409404" y="1636450"/>
              </a:lnTo>
              <a:lnTo>
                <a:pt x="407099" y="1639411"/>
              </a:lnTo>
              <a:lnTo>
                <a:pt x="404794" y="1642371"/>
              </a:lnTo>
              <a:lnTo>
                <a:pt x="403228" y="1644636"/>
              </a:lnTo>
              <a:lnTo>
                <a:pt x="401443" y="1647520"/>
              </a:lnTo>
              <a:lnTo>
                <a:pt x="399658" y="1650404"/>
              </a:lnTo>
              <a:lnTo>
                <a:pt x="398150" y="1653552"/>
              </a:lnTo>
              <a:lnTo>
                <a:pt x="396388" y="1656719"/>
              </a:lnTo>
              <a:lnTo>
                <a:pt x="394626" y="1659884"/>
              </a:lnTo>
              <a:lnTo>
                <a:pt x="392592" y="1663209"/>
              </a:lnTo>
              <a:lnTo>
                <a:pt x="390871" y="1666518"/>
              </a:lnTo>
              <a:lnTo>
                <a:pt x="389151" y="1669827"/>
              </a:lnTo>
              <a:lnTo>
                <a:pt x="387470" y="1673214"/>
              </a:lnTo>
              <a:lnTo>
                <a:pt x="386062" y="1676572"/>
              </a:lnTo>
              <a:lnTo>
                <a:pt x="384655" y="1679930"/>
              </a:lnTo>
              <a:lnTo>
                <a:pt x="382626" y="1684123"/>
              </a:lnTo>
              <a:lnTo>
                <a:pt x="382425" y="1686665"/>
              </a:lnTo>
              <a:lnTo>
                <a:pt x="382223" y="1689206"/>
              </a:lnTo>
              <a:lnTo>
                <a:pt x="382526" y="1691470"/>
              </a:lnTo>
              <a:lnTo>
                <a:pt x="384853" y="1691820"/>
              </a:lnTo>
              <a:lnTo>
                <a:pt x="387180" y="1692171"/>
              </a:lnTo>
              <a:lnTo>
                <a:pt x="391299" y="1691195"/>
              </a:lnTo>
              <a:lnTo>
                <a:pt x="427099" y="1669416"/>
              </a:lnTo>
              <a:lnTo>
                <a:pt x="459297" y="1644226"/>
              </a:lnTo>
              <a:lnTo>
                <a:pt x="491672" y="1614915"/>
              </a:lnTo>
              <a:lnTo>
                <a:pt x="508151" y="1597694"/>
              </a:lnTo>
              <a:lnTo>
                <a:pt x="512949" y="1592724"/>
              </a:lnTo>
              <a:lnTo>
                <a:pt x="519060" y="1586616"/>
              </a:lnTo>
              <a:lnTo>
                <a:pt x="524135" y="1580952"/>
              </a:lnTo>
              <a:lnTo>
                <a:pt x="528338" y="1578267"/>
              </a:lnTo>
              <a:lnTo>
                <a:pt x="532540" y="1575582"/>
              </a:lnTo>
              <a:lnTo>
                <a:pt x="535901" y="1574702"/>
              </a:lnTo>
              <a:lnTo>
                <a:pt x="538165" y="1576615"/>
              </a:lnTo>
              <a:lnTo>
                <a:pt x="540429" y="1578528"/>
              </a:lnTo>
              <a:lnTo>
                <a:pt x="541552" y="1583430"/>
              </a:lnTo>
              <a:lnTo>
                <a:pt x="541921" y="1589747"/>
              </a:lnTo>
              <a:lnTo>
                <a:pt x="542291" y="1596064"/>
              </a:lnTo>
              <a:lnTo>
                <a:pt x="535479" y="1639880"/>
              </a:lnTo>
              <a:lnTo>
                <a:pt x="524466" y="1677640"/>
              </a:lnTo>
              <a:lnTo>
                <a:pt x="510659" y="1716617"/>
              </a:lnTo>
              <a:lnTo>
                <a:pt x="500634" y="1743441"/>
              </a:lnTo>
              <a:lnTo>
                <a:pt x="497511" y="1751740"/>
              </a:lnTo>
              <a:lnTo>
                <a:pt x="494587" y="1759732"/>
              </a:lnTo>
              <a:lnTo>
                <a:pt x="491907" y="1767547"/>
              </a:lnTo>
              <a:lnTo>
                <a:pt x="489426" y="1775145"/>
              </a:lnTo>
              <a:lnTo>
                <a:pt x="487079" y="1782258"/>
              </a:lnTo>
              <a:lnTo>
                <a:pt x="472275" y="1812838"/>
              </a:lnTo>
              <a:lnTo>
                <a:pt x="470299" y="1811911"/>
              </a:lnTo>
              <a:lnTo>
                <a:pt x="468323" y="1810984"/>
              </a:lnTo>
              <a:lnTo>
                <a:pt x="466852" y="1806669"/>
              </a:lnTo>
              <a:lnTo>
                <a:pt x="464622" y="1801335"/>
              </a:lnTo>
              <a:lnTo>
                <a:pt x="462392" y="1795999"/>
              </a:lnTo>
              <a:lnTo>
                <a:pt x="450348" y="1758328"/>
              </a:lnTo>
              <a:lnTo>
                <a:pt x="447894" y="1750204"/>
              </a:lnTo>
              <a:lnTo>
                <a:pt x="445270" y="1741578"/>
              </a:lnTo>
              <a:lnTo>
                <a:pt x="442500" y="1732450"/>
              </a:lnTo>
              <a:lnTo>
                <a:pt x="439578" y="1722979"/>
              </a:lnTo>
              <a:lnTo>
                <a:pt x="436499" y="1713323"/>
              </a:lnTo>
              <a:lnTo>
                <a:pt x="433177" y="1703378"/>
              </a:lnTo>
              <a:lnTo>
                <a:pt x="429642" y="1693108"/>
              </a:lnTo>
              <a:lnTo>
                <a:pt x="426065" y="1682774"/>
              </a:lnTo>
              <a:lnTo>
                <a:pt x="422614" y="1672639"/>
              </a:lnTo>
              <a:lnTo>
                <a:pt x="419318" y="1662650"/>
              </a:lnTo>
              <a:lnTo>
                <a:pt x="416091" y="1652707"/>
              </a:lnTo>
              <a:lnTo>
                <a:pt x="412934" y="1643003"/>
              </a:lnTo>
              <a:lnTo>
                <a:pt x="409846" y="1633731"/>
              </a:lnTo>
              <a:lnTo>
                <a:pt x="406793" y="1624936"/>
              </a:lnTo>
              <a:lnTo>
                <a:pt x="403788" y="1616517"/>
              </a:lnTo>
              <a:lnTo>
                <a:pt x="400896" y="1608449"/>
              </a:lnTo>
              <a:lnTo>
                <a:pt x="398185" y="1600703"/>
              </a:lnTo>
              <a:lnTo>
                <a:pt x="384714" y="1557249"/>
              </a:lnTo>
              <a:lnTo>
                <a:pt x="382755" y="1551029"/>
              </a:lnTo>
              <a:lnTo>
                <a:pt x="380797" y="1544809"/>
              </a:lnTo>
              <a:lnTo>
                <a:pt x="378899" y="1538727"/>
              </a:lnTo>
              <a:lnTo>
                <a:pt x="377311" y="1535674"/>
              </a:lnTo>
              <a:lnTo>
                <a:pt x="375722" y="1532621"/>
              </a:lnTo>
              <a:lnTo>
                <a:pt x="374086" y="1531774"/>
              </a:lnTo>
              <a:lnTo>
                <a:pt x="373222" y="1532714"/>
              </a:lnTo>
              <a:lnTo>
                <a:pt x="372358" y="1533654"/>
              </a:lnTo>
              <a:lnTo>
                <a:pt x="372212" y="1537188"/>
              </a:lnTo>
              <a:lnTo>
                <a:pt x="372127" y="1541314"/>
              </a:lnTo>
              <a:lnTo>
                <a:pt x="372043" y="1545441"/>
              </a:lnTo>
              <a:lnTo>
                <a:pt x="372126" y="1551644"/>
              </a:lnTo>
              <a:lnTo>
                <a:pt x="378854" y="1589203"/>
              </a:lnTo>
              <a:lnTo>
                <a:pt x="380917" y="1594843"/>
              </a:lnTo>
              <a:lnTo>
                <a:pt x="382980" y="1600483"/>
              </a:lnTo>
              <a:lnTo>
                <a:pt x="385445" y="1606005"/>
              </a:lnTo>
              <a:lnTo>
                <a:pt x="388046" y="1610121"/>
              </a:lnTo>
              <a:lnTo>
                <a:pt x="390647" y="1614238"/>
              </a:lnTo>
              <a:lnTo>
                <a:pt x="393826" y="1617698"/>
              </a:lnTo>
              <a:lnTo>
                <a:pt x="396524" y="1619543"/>
              </a:lnTo>
              <a:lnTo>
                <a:pt x="399221" y="1621387"/>
              </a:lnTo>
              <a:lnTo>
                <a:pt x="401946" y="1621607"/>
              </a:lnTo>
              <a:lnTo>
                <a:pt x="404234" y="1621192"/>
              </a:lnTo>
              <a:lnTo>
                <a:pt x="406521" y="1620778"/>
              </a:lnTo>
              <a:lnTo>
                <a:pt x="408286" y="1618800"/>
              </a:lnTo>
              <a:lnTo>
                <a:pt x="410250" y="1617057"/>
              </a:lnTo>
              <a:lnTo>
                <a:pt x="412213" y="1615313"/>
              </a:lnTo>
              <a:lnTo>
                <a:pt x="413738" y="1612843"/>
              </a:lnTo>
              <a:lnTo>
                <a:pt x="443139" y="1595265"/>
              </a:lnTo>
              <a:lnTo>
                <a:pt x="446510" y="1594211"/>
              </a:lnTo>
              <a:lnTo>
                <a:pt x="450244" y="1593160"/>
              </a:lnTo>
              <a:lnTo>
                <a:pt x="453396" y="1592789"/>
              </a:lnTo>
              <a:lnTo>
                <a:pt x="456548" y="1592419"/>
              </a:lnTo>
              <a:lnTo>
                <a:pt x="459546" y="1592466"/>
              </a:lnTo>
              <a:lnTo>
                <a:pt x="462052" y="1593039"/>
              </a:lnTo>
              <a:lnTo>
                <a:pt x="464559" y="1593612"/>
              </a:lnTo>
              <a:lnTo>
                <a:pt x="467219" y="1595552"/>
              </a:lnTo>
              <a:lnTo>
                <a:pt x="468437" y="1596229"/>
              </a:lnTo>
              <a:lnTo>
                <a:pt x="469655" y="1596907"/>
              </a:lnTo>
              <a:lnTo>
                <a:pt x="470343" y="1598652"/>
              </a:lnTo>
              <a:lnTo>
                <a:pt x="469359" y="1597107"/>
              </a:lnTo>
              <a:lnTo>
                <a:pt x="468374" y="1595563"/>
              </a:lnTo>
              <a:lnTo>
                <a:pt x="465529" y="1591514"/>
              </a:lnTo>
              <a:lnTo>
                <a:pt x="462530" y="1586960"/>
              </a:lnTo>
              <a:lnTo>
                <a:pt x="459531" y="1582406"/>
              </a:lnTo>
              <a:lnTo>
                <a:pt x="455132" y="1576418"/>
              </a:lnTo>
              <a:lnTo>
                <a:pt x="437339" y="1541080"/>
              </a:lnTo>
              <a:lnTo>
                <a:pt x="425442" y="1506137"/>
              </a:lnTo>
              <a:lnTo>
                <a:pt x="423223" y="1499182"/>
              </a:lnTo>
              <a:lnTo>
                <a:pt x="421004" y="1492226"/>
              </a:lnTo>
              <a:lnTo>
                <a:pt x="418822" y="1486194"/>
              </a:lnTo>
              <a:lnTo>
                <a:pt x="416993" y="1480670"/>
              </a:lnTo>
              <a:lnTo>
                <a:pt x="415164" y="1475147"/>
              </a:lnTo>
              <a:lnTo>
                <a:pt x="413572" y="1469640"/>
              </a:lnTo>
              <a:lnTo>
                <a:pt x="412249" y="1466042"/>
              </a:lnTo>
              <a:lnTo>
                <a:pt x="410925" y="1462444"/>
              </a:lnTo>
              <a:lnTo>
                <a:pt x="409899" y="1459755"/>
              </a:lnTo>
              <a:lnTo>
                <a:pt x="409054" y="1459082"/>
              </a:lnTo>
              <a:lnTo>
                <a:pt x="408209" y="1458408"/>
              </a:lnTo>
              <a:lnTo>
                <a:pt x="407640" y="1459746"/>
              </a:lnTo>
              <a:lnTo>
                <a:pt x="407177" y="1461999"/>
              </a:lnTo>
              <a:lnTo>
                <a:pt x="406715" y="1464252"/>
              </a:lnTo>
              <a:lnTo>
                <a:pt x="406201" y="1468186"/>
              </a:lnTo>
              <a:lnTo>
                <a:pt x="406278" y="1472600"/>
              </a:lnTo>
              <a:lnTo>
                <a:pt x="406356" y="1477012"/>
              </a:lnTo>
              <a:lnTo>
                <a:pt x="406767" y="1482926"/>
              </a:lnTo>
              <a:lnTo>
                <a:pt x="407642" y="1488479"/>
              </a:lnTo>
              <a:lnTo>
                <a:pt x="408517" y="1494032"/>
              </a:lnTo>
              <a:lnTo>
                <a:pt x="410131" y="1499930"/>
              </a:lnTo>
              <a:lnTo>
                <a:pt x="411526" y="1505919"/>
              </a:lnTo>
              <a:lnTo>
                <a:pt x="412921" y="1511908"/>
              </a:lnTo>
              <a:lnTo>
                <a:pt x="414592" y="1518415"/>
              </a:lnTo>
              <a:lnTo>
                <a:pt x="416010" y="1524414"/>
              </a:lnTo>
              <a:lnTo>
                <a:pt x="417428" y="1530414"/>
              </a:lnTo>
              <a:lnTo>
                <a:pt x="418303" y="1535849"/>
              </a:lnTo>
              <a:lnTo>
                <a:pt x="420032" y="1541913"/>
              </a:lnTo>
              <a:lnTo>
                <a:pt x="421760" y="1547978"/>
              </a:lnTo>
              <a:lnTo>
                <a:pt x="422899" y="1552494"/>
              </a:lnTo>
              <a:lnTo>
                <a:pt x="426380" y="1560800"/>
              </a:lnTo>
              <a:lnTo>
                <a:pt x="429286" y="1567367"/>
              </a:lnTo>
              <a:lnTo>
                <a:pt x="432731" y="1574662"/>
              </a:lnTo>
              <a:lnTo>
                <a:pt x="436634" y="1582763"/>
              </a:lnTo>
              <a:lnTo>
                <a:pt x="440916" y="1591749"/>
              </a:lnTo>
              <a:lnTo>
                <a:pt x="445534" y="1601667"/>
              </a:lnTo>
              <a:lnTo>
                <a:pt x="450536" y="1612467"/>
              </a:lnTo>
              <a:lnTo>
                <a:pt x="455984" y="1624078"/>
              </a:lnTo>
              <a:lnTo>
                <a:pt x="461938" y="1636430"/>
              </a:lnTo>
              <a:lnTo>
                <a:pt x="468500" y="1649539"/>
              </a:lnTo>
              <a:lnTo>
                <a:pt x="475609" y="1663432"/>
              </a:lnTo>
              <a:lnTo>
                <a:pt x="483081" y="1678051"/>
              </a:lnTo>
              <a:lnTo>
                <a:pt x="506637" y="1725881"/>
              </a:lnTo>
              <a:lnTo>
                <a:pt x="523381" y="1761272"/>
              </a:lnTo>
              <a:lnTo>
                <a:pt x="540738" y="1799554"/>
              </a:lnTo>
              <a:lnTo>
                <a:pt x="558890" y="1840986"/>
              </a:lnTo>
              <a:lnTo>
                <a:pt x="578175" y="1886162"/>
              </a:lnTo>
              <a:lnTo>
                <a:pt x="597896" y="1934100"/>
              </a:lnTo>
              <a:lnTo>
                <a:pt x="617501" y="1984460"/>
              </a:lnTo>
              <a:lnTo>
                <a:pt x="636882" y="2035906"/>
              </a:lnTo>
              <a:lnTo>
                <a:pt x="655846" y="2087284"/>
              </a:lnTo>
              <a:lnTo>
                <a:pt x="674093" y="2137712"/>
              </a:lnTo>
              <a:lnTo>
                <a:pt x="691235" y="2186129"/>
              </a:lnTo>
              <a:lnTo>
                <a:pt x="699424" y="2209491"/>
              </a:lnTo>
              <a:lnTo>
                <a:pt x="707332" y="2231931"/>
              </a:lnTo>
              <a:lnTo>
                <a:pt x="722371" y="2274180"/>
              </a:lnTo>
              <a:lnTo>
                <a:pt x="736176" y="2312819"/>
              </a:lnTo>
              <a:lnTo>
                <a:pt x="748620" y="2347536"/>
              </a:lnTo>
              <a:lnTo>
                <a:pt x="754299" y="2363396"/>
              </a:lnTo>
              <a:lnTo>
                <a:pt x="759540" y="2378150"/>
              </a:lnTo>
              <a:lnTo>
                <a:pt x="764282" y="2391775"/>
              </a:lnTo>
              <a:lnTo>
                <a:pt x="768571" y="2404314"/>
              </a:lnTo>
              <a:lnTo>
                <a:pt x="772507" y="2415787"/>
              </a:lnTo>
              <a:lnTo>
                <a:pt x="776192" y="2426218"/>
              </a:lnTo>
              <a:lnTo>
                <a:pt x="779560" y="2435803"/>
              </a:lnTo>
              <a:lnTo>
                <a:pt x="782589" y="2444466"/>
              </a:lnTo>
              <a:lnTo>
                <a:pt x="785440" y="2451822"/>
              </a:lnTo>
              <a:lnTo>
                <a:pt x="788278" y="2457482"/>
              </a:lnTo>
              <a:lnTo>
                <a:pt x="792124" y="2463727"/>
              </a:lnTo>
              <a:lnTo>
                <a:pt x="796007" y="2465234"/>
              </a:lnTo>
              <a:lnTo>
                <a:pt x="799268" y="2463689"/>
              </a:lnTo>
              <a:lnTo>
                <a:pt x="812499" y="2423579"/>
              </a:lnTo>
              <a:lnTo>
                <a:pt x="816607" y="2375943"/>
              </a:lnTo>
              <a:lnTo>
                <a:pt x="818403" y="2328473"/>
              </a:lnTo>
              <a:lnTo>
                <a:pt x="819404" y="2273070"/>
              </a:lnTo>
              <a:lnTo>
                <a:pt x="819758" y="2233032"/>
              </a:lnTo>
              <a:lnTo>
                <a:pt x="819717" y="2213051"/>
              </a:lnTo>
              <a:lnTo>
                <a:pt x="819058" y="2173127"/>
              </a:lnTo>
              <a:lnTo>
                <a:pt x="818000" y="2134342"/>
              </a:lnTo>
              <a:lnTo>
                <a:pt x="816195" y="2080845"/>
              </a:lnTo>
              <a:lnTo>
                <a:pt x="813421" y="2033468"/>
              </a:lnTo>
              <a:lnTo>
                <a:pt x="810169" y="1993296"/>
              </a:lnTo>
              <a:lnTo>
                <a:pt x="805744" y="1952368"/>
              </a:lnTo>
              <a:lnTo>
                <a:pt x="793636" y="1915306"/>
              </a:lnTo>
              <a:lnTo>
                <a:pt x="788284" y="1910346"/>
              </a:lnTo>
              <a:lnTo>
                <a:pt x="785541" y="1910694"/>
              </a:lnTo>
              <a:lnTo>
                <a:pt x="782799" y="1911042"/>
              </a:lnTo>
              <a:lnTo>
                <a:pt x="763521" y="1940416"/>
              </a:lnTo>
              <a:lnTo>
                <a:pt x="761109" y="1945575"/>
              </a:lnTo>
              <a:lnTo>
                <a:pt x="758697" y="1950733"/>
              </a:lnTo>
              <a:lnTo>
                <a:pt x="756426" y="1956130"/>
              </a:lnTo>
              <a:lnTo>
                <a:pt x="754018" y="1961184"/>
              </a:lnTo>
              <a:lnTo>
                <a:pt x="751609" y="1966236"/>
              </a:lnTo>
              <a:lnTo>
                <a:pt x="750004" y="1973371"/>
              </a:lnTo>
              <a:lnTo>
                <a:pt x="746656" y="1975891"/>
              </a:lnTo>
              <a:lnTo>
                <a:pt x="743308" y="1978411"/>
              </a:lnTo>
              <a:lnTo>
                <a:pt x="739337" y="1978991"/>
              </a:lnTo>
              <a:lnTo>
                <a:pt x="733927" y="1976307"/>
              </a:lnTo>
              <a:lnTo>
                <a:pt x="702438" y="1944399"/>
              </a:lnTo>
              <a:lnTo>
                <a:pt x="675234" y="1901022"/>
              </a:lnTo>
              <a:lnTo>
                <a:pt x="651885" y="1857562"/>
              </a:lnTo>
              <a:lnTo>
                <a:pt x="635067" y="1823040"/>
              </a:lnTo>
              <a:lnTo>
                <a:pt x="617961" y="1785228"/>
              </a:lnTo>
              <a:lnTo>
                <a:pt x="600565" y="1744126"/>
              </a:lnTo>
              <a:lnTo>
                <a:pt x="583692" y="1700709"/>
              </a:lnTo>
              <a:lnTo>
                <a:pt x="567343" y="1654977"/>
              </a:lnTo>
              <a:lnTo>
                <a:pt x="552279" y="1609215"/>
              </a:lnTo>
              <a:lnTo>
                <a:pt x="538499" y="1563424"/>
              </a:lnTo>
              <a:lnTo>
                <a:pt x="526126" y="1519118"/>
              </a:lnTo>
              <a:lnTo>
                <a:pt x="515163" y="1476298"/>
              </a:lnTo>
              <a:lnTo>
                <a:pt x="505392" y="1435316"/>
              </a:lnTo>
              <a:lnTo>
                <a:pt x="496814" y="1396172"/>
              </a:lnTo>
              <a:lnTo>
                <a:pt x="486517" y="1343161"/>
              </a:lnTo>
              <a:lnTo>
                <a:pt x="479076" y="1298099"/>
              </a:lnTo>
              <a:lnTo>
                <a:pt x="473015" y="1251819"/>
              </a:lnTo>
              <a:lnTo>
                <a:pt x="471371" y="1234209"/>
              </a:lnTo>
              <a:lnTo>
                <a:pt x="470620" y="1226656"/>
              </a:lnTo>
              <a:lnTo>
                <a:pt x="469562" y="1217100"/>
              </a:lnTo>
              <a:lnTo>
                <a:pt x="469155" y="1208372"/>
              </a:lnTo>
              <a:lnTo>
                <a:pt x="467824" y="1204670"/>
              </a:lnTo>
              <a:lnTo>
                <a:pt x="466494" y="1200968"/>
              </a:lnTo>
              <a:lnTo>
                <a:pt x="464690" y="1201349"/>
              </a:lnTo>
              <a:lnTo>
                <a:pt x="462639" y="1204444"/>
              </a:lnTo>
              <a:lnTo>
                <a:pt x="460589" y="1207537"/>
              </a:lnTo>
              <a:lnTo>
                <a:pt x="449127" y="1248375"/>
              </a:lnTo>
              <a:lnTo>
                <a:pt x="441195" y="1290174"/>
              </a:lnTo>
              <a:lnTo>
                <a:pt x="433550" y="1336237"/>
              </a:lnTo>
              <a:lnTo>
                <a:pt x="431614" y="1348258"/>
              </a:lnTo>
              <a:lnTo>
                <a:pt x="429619" y="1360586"/>
              </a:lnTo>
              <a:lnTo>
                <a:pt x="423666" y="1398513"/>
              </a:lnTo>
              <a:lnTo>
                <a:pt x="418461" y="1436342"/>
              </a:lnTo>
              <a:lnTo>
                <a:pt x="413025" y="1482437"/>
              </a:lnTo>
              <a:lnTo>
                <a:pt x="409353" y="1521796"/>
              </a:lnTo>
              <a:lnTo>
                <a:pt x="407187" y="1553615"/>
              </a:lnTo>
              <a:lnTo>
                <a:pt x="406830" y="1559628"/>
              </a:lnTo>
              <a:lnTo>
                <a:pt x="406384" y="1566767"/>
              </a:lnTo>
              <a:lnTo>
                <a:pt x="405631" y="1571208"/>
              </a:lnTo>
              <a:lnTo>
                <a:pt x="406005" y="1573257"/>
              </a:lnTo>
              <a:lnTo>
                <a:pt x="406379" y="1575306"/>
              </a:lnTo>
              <a:lnTo>
                <a:pt x="407272" y="1574924"/>
              </a:lnTo>
              <a:lnTo>
                <a:pt x="409073" y="1571919"/>
              </a:lnTo>
              <a:lnTo>
                <a:pt x="410873" y="1568914"/>
              </a:lnTo>
              <a:lnTo>
                <a:pt x="413789" y="1562137"/>
              </a:lnTo>
              <a:lnTo>
                <a:pt x="416807" y="1555225"/>
              </a:lnTo>
              <a:lnTo>
                <a:pt x="419188" y="1549672"/>
              </a:lnTo>
              <a:lnTo>
                <a:pt x="421756" y="1543535"/>
              </a:lnTo>
              <a:lnTo>
                <a:pt x="424443" y="1537050"/>
              </a:lnTo>
              <a:lnTo>
                <a:pt x="427181" y="1530451"/>
              </a:lnTo>
              <a:lnTo>
                <a:pt x="429980" y="1523707"/>
              </a:lnTo>
              <a:lnTo>
                <a:pt x="432867" y="1516724"/>
              </a:lnTo>
              <a:lnTo>
                <a:pt x="435799" y="1509644"/>
              </a:lnTo>
              <a:lnTo>
                <a:pt x="438732" y="1502609"/>
              </a:lnTo>
              <a:lnTo>
                <a:pt x="441632" y="1495416"/>
              </a:lnTo>
              <a:lnTo>
                <a:pt x="444529" y="1488070"/>
              </a:lnTo>
              <a:lnTo>
                <a:pt x="447478" y="1481023"/>
              </a:lnTo>
              <a:lnTo>
                <a:pt x="473586" y="1452857"/>
              </a:lnTo>
              <a:lnTo>
                <a:pt x="478523" y="1455738"/>
              </a:lnTo>
              <a:lnTo>
                <a:pt x="500365" y="1490185"/>
              </a:lnTo>
              <a:lnTo>
                <a:pt x="513740" y="1535383"/>
              </a:lnTo>
              <a:lnTo>
                <a:pt x="522568" y="1577114"/>
              </a:lnTo>
              <a:lnTo>
                <a:pt x="529737" y="1622780"/>
              </a:lnTo>
              <a:lnTo>
                <a:pt x="535137" y="1669605"/>
              </a:lnTo>
              <a:lnTo>
                <a:pt x="538964" y="1714267"/>
              </a:lnTo>
              <a:lnTo>
                <a:pt x="541448" y="1755761"/>
              </a:lnTo>
              <a:lnTo>
                <a:pt x="543144" y="1801541"/>
              </a:lnTo>
              <a:lnTo>
                <a:pt x="543566" y="1820612"/>
              </a:lnTo>
              <a:lnTo>
                <a:pt x="543670" y="1825793"/>
              </a:lnTo>
              <a:lnTo>
                <a:pt x="544107" y="1826040"/>
              </a:lnTo>
              <a:lnTo>
                <a:pt x="543470" y="1823427"/>
              </a:lnTo>
              <a:lnTo>
                <a:pt x="542832" y="1820814"/>
              </a:lnTo>
              <a:lnTo>
                <a:pt x="541451" y="1814241"/>
              </a:lnTo>
              <a:lnTo>
                <a:pt x="539741" y="1804934"/>
              </a:lnTo>
              <a:lnTo>
                <a:pt x="538350" y="1797186"/>
              </a:lnTo>
              <a:lnTo>
                <a:pt x="536770" y="1788140"/>
              </a:lnTo>
              <a:lnTo>
                <a:pt x="535042" y="1778155"/>
              </a:lnTo>
              <a:lnTo>
                <a:pt x="533209" y="1767592"/>
              </a:lnTo>
              <a:lnTo>
                <a:pt x="531297" y="1756337"/>
              </a:lnTo>
              <a:lnTo>
                <a:pt x="529280" y="1744269"/>
              </a:lnTo>
              <a:lnTo>
                <a:pt x="527115" y="1731732"/>
              </a:lnTo>
              <a:lnTo>
                <a:pt x="519404" y="1693007"/>
              </a:lnTo>
              <a:lnTo>
                <a:pt x="510525" y="1653879"/>
              </a:lnTo>
              <a:lnTo>
                <a:pt x="504250" y="1628574"/>
              </a:lnTo>
              <a:lnTo>
                <a:pt x="501257" y="1616518"/>
              </a:lnTo>
              <a:lnTo>
                <a:pt x="498397" y="1604896"/>
              </a:lnTo>
              <a:lnTo>
                <a:pt x="495618" y="1593630"/>
              </a:lnTo>
              <a:lnTo>
                <a:pt x="492968" y="1582845"/>
              </a:lnTo>
              <a:lnTo>
                <a:pt x="484128" y="1545705"/>
              </a:lnTo>
              <a:lnTo>
                <a:pt x="479393" y="1523304"/>
              </a:lnTo>
              <a:lnTo>
                <a:pt x="478125" y="1517022"/>
              </a:lnTo>
              <a:lnTo>
                <a:pt x="476866" y="1511798"/>
              </a:lnTo>
              <a:lnTo>
                <a:pt x="475151" y="1505673"/>
              </a:lnTo>
              <a:lnTo>
                <a:pt x="473463" y="1502263"/>
              </a:lnTo>
              <a:lnTo>
                <a:pt x="472048" y="1501080"/>
              </a:lnTo>
              <a:lnTo>
                <a:pt x="470632" y="1499896"/>
              </a:lnTo>
              <a:lnTo>
                <a:pt x="461498" y="1543014"/>
              </a:lnTo>
              <a:lnTo>
                <a:pt x="457911" y="1589542"/>
              </a:lnTo>
              <a:lnTo>
                <a:pt x="456052" y="1633329"/>
              </a:lnTo>
              <a:lnTo>
                <a:pt x="454957" y="1678979"/>
              </a:lnTo>
              <a:lnTo>
                <a:pt x="454739" y="1690640"/>
              </a:lnTo>
              <a:lnTo>
                <a:pt x="454534" y="1702415"/>
              </a:lnTo>
              <a:lnTo>
                <a:pt x="454409" y="1714202"/>
              </a:lnTo>
              <a:lnTo>
                <a:pt x="454431" y="1725901"/>
              </a:lnTo>
              <a:lnTo>
                <a:pt x="455899" y="1771963"/>
              </a:lnTo>
              <a:lnTo>
                <a:pt x="459736" y="1814624"/>
              </a:lnTo>
              <a:lnTo>
                <a:pt x="467346" y="1853192"/>
              </a:lnTo>
              <a:lnTo>
                <a:pt x="480772" y="1892112"/>
              </a:lnTo>
              <a:lnTo>
                <a:pt x="505905" y="1923659"/>
              </a:lnTo>
              <a:lnTo>
                <a:pt x="540729" y="1941051"/>
              </a:lnTo>
              <a:lnTo>
                <a:pt x="581934" y="1949998"/>
              </a:lnTo>
              <a:lnTo>
                <a:pt x="640160" y="1955424"/>
              </a:lnTo>
              <a:lnTo>
                <a:pt x="665297" y="1955632"/>
              </a:lnTo>
              <a:lnTo>
                <a:pt x="693039" y="1955134"/>
              </a:lnTo>
              <a:lnTo>
                <a:pt x="758957" y="1951191"/>
              </a:lnTo>
              <a:lnTo>
                <a:pt x="797664" y="1947641"/>
              </a:lnTo>
              <a:lnTo>
                <a:pt x="839911" y="1943130"/>
              </a:lnTo>
              <a:lnTo>
                <a:pt x="886162" y="1937386"/>
              </a:lnTo>
              <a:lnTo>
                <a:pt x="936881" y="1930135"/>
              </a:lnTo>
              <a:lnTo>
                <a:pt x="980726" y="1923165"/>
              </a:lnTo>
              <a:lnTo>
                <a:pt x="1027311" y="1915248"/>
              </a:lnTo>
              <a:lnTo>
                <a:pt x="1076666" y="1906445"/>
              </a:lnTo>
              <a:lnTo>
                <a:pt x="1128824" y="1896817"/>
              </a:lnTo>
              <a:lnTo>
                <a:pt x="1183816" y="1886427"/>
              </a:lnTo>
              <a:lnTo>
                <a:pt x="1232033" y="1877191"/>
              </a:lnTo>
              <a:lnTo>
                <a:pt x="1282473" y="1867398"/>
              </a:lnTo>
              <a:lnTo>
                <a:pt x="1334867" y="1857047"/>
              </a:lnTo>
              <a:lnTo>
                <a:pt x="1388945" y="1846136"/>
              </a:lnTo>
              <a:lnTo>
                <a:pt x="1444438" y="1834662"/>
              </a:lnTo>
              <a:lnTo>
                <a:pt x="1501075" y="1822622"/>
              </a:lnTo>
              <a:lnTo>
                <a:pt x="1550758" y="1811767"/>
              </a:lnTo>
              <a:lnTo>
                <a:pt x="1601751" y="1800384"/>
              </a:lnTo>
              <a:lnTo>
                <a:pt x="1653851" y="1788559"/>
              </a:lnTo>
              <a:lnTo>
                <a:pt x="1706854" y="1776377"/>
              </a:lnTo>
              <a:lnTo>
                <a:pt x="1760559" y="1763925"/>
              </a:lnTo>
              <a:lnTo>
                <a:pt x="1814761" y="1751289"/>
              </a:lnTo>
              <a:lnTo>
                <a:pt x="1869257" y="1738555"/>
              </a:lnTo>
              <a:lnTo>
                <a:pt x="1917439" y="1727280"/>
              </a:lnTo>
              <a:lnTo>
                <a:pt x="1966356" y="1715792"/>
              </a:lnTo>
              <a:lnTo>
                <a:pt x="2015826" y="1704122"/>
              </a:lnTo>
              <a:lnTo>
                <a:pt x="2065669" y="1692298"/>
              </a:lnTo>
              <a:lnTo>
                <a:pt x="2115703" y="1680351"/>
              </a:lnTo>
              <a:lnTo>
                <a:pt x="2165747" y="1668311"/>
              </a:lnTo>
              <a:lnTo>
                <a:pt x="2215621" y="1656207"/>
              </a:lnTo>
              <a:lnTo>
                <a:pt x="2265142" y="1644069"/>
              </a:lnTo>
              <a:lnTo>
                <a:pt x="2314671" y="1631803"/>
              </a:lnTo>
              <a:lnTo>
                <a:pt x="2364532" y="1619341"/>
              </a:lnTo>
              <a:lnTo>
                <a:pt x="2414497" y="1606750"/>
              </a:lnTo>
              <a:lnTo>
                <a:pt x="2464335" y="1594099"/>
              </a:lnTo>
              <a:lnTo>
                <a:pt x="2513816" y="1581453"/>
              </a:lnTo>
              <a:lnTo>
                <a:pt x="2562711" y="1568883"/>
              </a:lnTo>
              <a:lnTo>
                <a:pt x="2610790" y="1556453"/>
              </a:lnTo>
              <a:lnTo>
                <a:pt x="2657823" y="1544234"/>
              </a:lnTo>
              <a:lnTo>
                <a:pt x="2710636" y="1530436"/>
              </a:lnTo>
              <a:lnTo>
                <a:pt x="2762823" y="1516710"/>
              </a:lnTo>
              <a:lnTo>
                <a:pt x="2814203" y="1503097"/>
              </a:lnTo>
              <a:lnTo>
                <a:pt x="2864598" y="1489638"/>
              </a:lnTo>
              <a:lnTo>
                <a:pt x="2913829" y="1476374"/>
              </a:lnTo>
              <a:lnTo>
                <a:pt x="2961715" y="1463347"/>
              </a:lnTo>
              <a:lnTo>
                <a:pt x="3008078" y="1450597"/>
              </a:lnTo>
              <a:lnTo>
                <a:pt x="3060481" y="1435953"/>
              </a:lnTo>
              <a:lnTo>
                <a:pt x="3111310" y="1421492"/>
              </a:lnTo>
              <a:lnTo>
                <a:pt x="3160391" y="1407335"/>
              </a:lnTo>
              <a:lnTo>
                <a:pt x="3207550" y="1393600"/>
              </a:lnTo>
              <a:lnTo>
                <a:pt x="3252613" y="1380407"/>
              </a:lnTo>
              <a:lnTo>
                <a:pt x="3295407" y="1367876"/>
              </a:lnTo>
              <a:lnTo>
                <a:pt x="3355372" y="1350261"/>
              </a:lnTo>
              <a:lnTo>
                <a:pt x="3410571" y="1333876"/>
              </a:lnTo>
              <a:lnTo>
                <a:pt x="3461157" y="1318692"/>
              </a:lnTo>
              <a:lnTo>
                <a:pt x="3507288" y="1304677"/>
              </a:lnTo>
              <a:lnTo>
                <a:pt x="3548701" y="1291797"/>
              </a:lnTo>
              <a:lnTo>
                <a:pt x="3585414" y="1280076"/>
              </a:lnTo>
              <a:lnTo>
                <a:pt x="3618004" y="1269577"/>
              </a:lnTo>
              <a:lnTo>
                <a:pt x="3647047" y="1260362"/>
              </a:lnTo>
              <a:lnTo>
                <a:pt x="3693676" y="1245857"/>
              </a:lnTo>
              <a:lnTo>
                <a:pt x="3739479" y="1233116"/>
              </a:lnTo>
              <a:lnTo>
                <a:pt x="3755703" y="1230398"/>
              </a:lnTo>
              <a:lnTo>
                <a:pt x="3760183" y="1231228"/>
              </a:lnTo>
              <a:lnTo>
                <a:pt x="3764792" y="1233441"/>
              </a:lnTo>
              <a:lnTo>
                <a:pt x="3761721" y="1240121"/>
              </a:lnTo>
              <a:lnTo>
                <a:pt x="3729363" y="1276470"/>
              </a:lnTo>
              <a:lnTo>
                <a:pt x="3690358" y="1313879"/>
              </a:lnTo>
              <a:lnTo>
                <a:pt x="3656765" y="1344009"/>
              </a:lnTo>
              <a:lnTo>
                <a:pt x="3616651" y="1377570"/>
              </a:lnTo>
              <a:lnTo>
                <a:pt x="3569870" y="1414295"/>
              </a:lnTo>
              <a:lnTo>
                <a:pt x="3516111" y="1454072"/>
              </a:lnTo>
              <a:lnTo>
                <a:pt x="3455595" y="1495849"/>
              </a:lnTo>
              <a:lnTo>
                <a:pt x="3422933" y="1517073"/>
              </a:lnTo>
              <a:lnTo>
                <a:pt x="3388654" y="1538656"/>
              </a:lnTo>
              <a:lnTo>
                <a:pt x="3352607" y="1560407"/>
              </a:lnTo>
              <a:lnTo>
                <a:pt x="3314641" y="1582135"/>
              </a:lnTo>
              <a:lnTo>
                <a:pt x="3274840" y="1603936"/>
              </a:lnTo>
              <a:lnTo>
                <a:pt x="3233242" y="1625862"/>
              </a:lnTo>
              <a:lnTo>
                <a:pt x="3189631" y="1647661"/>
              </a:lnTo>
              <a:lnTo>
                <a:pt x="3143790" y="1669079"/>
              </a:lnTo>
              <a:lnTo>
                <a:pt x="3095523" y="1690158"/>
              </a:lnTo>
              <a:lnTo>
                <a:pt x="3044991" y="1710996"/>
              </a:lnTo>
              <a:lnTo>
                <a:pt x="2992514" y="1731429"/>
              </a:lnTo>
              <a:lnTo>
                <a:pt x="2938410" y="1751291"/>
              </a:lnTo>
              <a:lnTo>
                <a:pt x="2893721" y="1766880"/>
              </a:lnTo>
              <a:lnTo>
                <a:pt x="2847637" y="1782274"/>
              </a:lnTo>
              <a:lnTo>
                <a:pt x="2800587" y="1797271"/>
              </a:lnTo>
              <a:lnTo>
                <a:pt x="2752998" y="1811668"/>
              </a:lnTo>
              <a:lnTo>
                <a:pt x="2705299" y="1825262"/>
              </a:lnTo>
              <a:lnTo>
                <a:pt x="2657138" y="1838074"/>
              </a:lnTo>
              <a:lnTo>
                <a:pt x="2608230" y="1850242"/>
              </a:lnTo>
              <a:lnTo>
                <a:pt x="2559102" y="1861730"/>
              </a:lnTo>
              <a:lnTo>
                <a:pt x="2510281" y="1872506"/>
              </a:lnTo>
              <a:lnTo>
                <a:pt x="2462293" y="1882537"/>
              </a:lnTo>
              <a:lnTo>
                <a:pt x="2414865" y="1891783"/>
              </a:lnTo>
              <a:lnTo>
                <a:pt x="2367648" y="1900269"/>
              </a:lnTo>
              <a:lnTo>
                <a:pt x="2321048" y="1908050"/>
              </a:lnTo>
              <a:lnTo>
                <a:pt x="2275475" y="1915183"/>
              </a:lnTo>
              <a:lnTo>
                <a:pt x="2231338" y="1921726"/>
              </a:lnTo>
              <a:lnTo>
                <a:pt x="2177946" y="1928980"/>
              </a:lnTo>
              <a:lnTo>
                <a:pt x="2126239" y="1935191"/>
              </a:lnTo>
              <a:lnTo>
                <a:pt x="2076613" y="1940542"/>
              </a:lnTo>
              <a:lnTo>
                <a:pt x="2029464" y="1945213"/>
              </a:lnTo>
              <a:lnTo>
                <a:pt x="1984755" y="1949140"/>
              </a:lnTo>
              <a:lnTo>
                <a:pt x="1942324" y="1952267"/>
              </a:lnTo>
              <a:lnTo>
                <a:pt x="1902372" y="1954776"/>
              </a:lnTo>
              <a:lnTo>
                <a:pt x="1830627" y="1958527"/>
              </a:lnTo>
              <a:lnTo>
                <a:pt x="1769520" y="1960393"/>
              </a:lnTo>
              <a:lnTo>
                <a:pt x="1742577" y="1960593"/>
              </a:lnTo>
              <a:lnTo>
                <a:pt x="1718078" y="1960235"/>
              </a:lnTo>
              <a:lnTo>
                <a:pt x="1676301" y="1958051"/>
              </a:lnTo>
              <a:lnTo>
                <a:pt x="1629736" y="1952503"/>
              </a:lnTo>
              <a:lnTo>
                <a:pt x="1592187" y="1942173"/>
              </a:lnTo>
              <a:lnTo>
                <a:pt x="1569190" y="1917375"/>
              </a:lnTo>
              <a:lnTo>
                <a:pt x="1569885" y="1912622"/>
              </a:lnTo>
              <a:lnTo>
                <a:pt x="1570600" y="1907610"/>
              </a:lnTo>
              <a:lnTo>
                <a:pt x="1571316" y="1902598"/>
              </a:lnTo>
              <a:lnTo>
                <a:pt x="1573155" y="1897699"/>
              </a:lnTo>
              <a:lnTo>
                <a:pt x="1575270" y="1892060"/>
              </a:lnTo>
              <a:lnTo>
                <a:pt x="1577385" y="1886422"/>
              </a:lnTo>
              <a:lnTo>
                <a:pt x="1579754" y="1880932"/>
              </a:lnTo>
              <a:lnTo>
                <a:pt x="1583289" y="1873778"/>
              </a:lnTo>
              <a:lnTo>
                <a:pt x="1586026" y="1868193"/>
              </a:lnTo>
              <a:lnTo>
                <a:pt x="1605729" y="1834883"/>
              </a:lnTo>
              <a:lnTo>
                <a:pt x="1635046" y="1801201"/>
              </a:lnTo>
              <a:lnTo>
                <a:pt x="1668972" y="1771165"/>
              </a:lnTo>
              <a:lnTo>
                <a:pt x="1714593" y="1737110"/>
              </a:lnTo>
              <a:lnTo>
                <a:pt x="1754166" y="1711395"/>
              </a:lnTo>
              <a:lnTo>
                <a:pt x="1801807" y="1683728"/>
              </a:lnTo>
              <a:lnTo>
                <a:pt x="1858566" y="1654275"/>
              </a:lnTo>
              <a:lnTo>
                <a:pt x="1924423" y="1623624"/>
              </a:lnTo>
              <a:lnTo>
                <a:pt x="1960967" y="1608170"/>
              </a:lnTo>
              <a:lnTo>
                <a:pt x="1999880" y="1592550"/>
              </a:lnTo>
              <a:lnTo>
                <a:pt x="2041063" y="1576725"/>
              </a:lnTo>
              <a:lnTo>
                <a:pt x="2084415" y="1560657"/>
              </a:lnTo>
              <a:lnTo>
                <a:pt x="2130428" y="1544182"/>
              </a:lnTo>
              <a:lnTo>
                <a:pt x="2178983" y="1527372"/>
              </a:lnTo>
              <a:lnTo>
                <a:pt x="2229065" y="1510541"/>
              </a:lnTo>
              <a:lnTo>
                <a:pt x="2279659" y="1494002"/>
              </a:lnTo>
              <a:lnTo>
                <a:pt x="2331207" y="1477704"/>
              </a:lnTo>
              <a:lnTo>
                <a:pt x="2384015" y="1461524"/>
              </a:lnTo>
              <a:lnTo>
                <a:pt x="2436857" y="1445671"/>
              </a:lnTo>
              <a:lnTo>
                <a:pt x="2488511" y="1430355"/>
              </a:lnTo>
              <a:lnTo>
                <a:pt x="2539217" y="1415549"/>
              </a:lnTo>
              <a:lnTo>
                <a:pt x="2589441" y="1401169"/>
              </a:lnTo>
              <a:lnTo>
                <a:pt x="2638289" y="1387336"/>
              </a:lnTo>
              <a:lnTo>
                <a:pt x="2684870" y="1374171"/>
              </a:lnTo>
              <a:lnTo>
                <a:pt x="2729322" y="1361666"/>
              </a:lnTo>
              <a:lnTo>
                <a:pt x="2771995" y="1349770"/>
              </a:lnTo>
              <a:lnTo>
                <a:pt x="2812314" y="1338539"/>
              </a:lnTo>
              <a:lnTo>
                <a:pt x="2849706" y="1328029"/>
              </a:lnTo>
              <a:lnTo>
                <a:pt x="2884005" y="1318244"/>
              </a:lnTo>
              <a:lnTo>
                <a:pt x="2915522" y="1309156"/>
              </a:lnTo>
              <a:lnTo>
                <a:pt x="2944394" y="1300781"/>
              </a:lnTo>
              <a:lnTo>
                <a:pt x="2970758" y="1293134"/>
              </a:lnTo>
              <a:lnTo>
                <a:pt x="2994593" y="1286220"/>
              </a:lnTo>
              <a:lnTo>
                <a:pt x="3015845" y="1280031"/>
              </a:lnTo>
              <a:lnTo>
                <a:pt x="3034604" y="1274558"/>
              </a:lnTo>
              <a:lnTo>
                <a:pt x="3050961" y="1269793"/>
              </a:lnTo>
              <a:lnTo>
                <a:pt x="3092241" y="1257817"/>
              </a:lnTo>
              <a:lnTo>
                <a:pt x="3098886" y="1255922"/>
              </a:lnTo>
              <a:lnTo>
                <a:pt x="3098062" y="1256109"/>
              </a:lnTo>
              <a:lnTo>
                <a:pt x="3090835" y="1258421"/>
              </a:lnTo>
              <a:lnTo>
                <a:pt x="3084188" y="1260487"/>
              </a:lnTo>
              <a:lnTo>
                <a:pt x="3075034" y="1263301"/>
              </a:lnTo>
              <a:lnTo>
                <a:pt x="3063291" y="1266993"/>
              </a:lnTo>
              <a:lnTo>
                <a:pt x="3012137" y="1283984"/>
              </a:lnTo>
              <a:lnTo>
                <a:pt x="2964597" y="1300380"/>
              </a:lnTo>
              <a:lnTo>
                <a:pt x="2905402" y="1321376"/>
              </a:lnTo>
              <a:lnTo>
                <a:pt x="2836208" y="1346481"/>
              </a:lnTo>
              <a:lnTo>
                <a:pt x="2798492" y="1360391"/>
              </a:lnTo>
              <a:lnTo>
                <a:pt x="2758526" y="1375246"/>
              </a:lnTo>
              <a:lnTo>
                <a:pt x="2716332" y="1391107"/>
              </a:lnTo>
              <a:lnTo>
                <a:pt x="2671933" y="1408031"/>
              </a:lnTo>
              <a:lnTo>
                <a:pt x="2625301" y="1426156"/>
              </a:lnTo>
              <a:lnTo>
                <a:pt x="2576434" y="1445410"/>
              </a:lnTo>
              <a:lnTo>
                <a:pt x="2525398" y="1465538"/>
              </a:lnTo>
              <a:lnTo>
                <a:pt x="2472259" y="1486284"/>
              </a:lnTo>
              <a:lnTo>
                <a:pt x="2428166" y="1503358"/>
              </a:lnTo>
              <a:lnTo>
                <a:pt x="2382636" y="1520957"/>
              </a:lnTo>
              <a:lnTo>
                <a:pt x="2335785" y="1538969"/>
              </a:lnTo>
              <a:lnTo>
                <a:pt x="2287729" y="1557282"/>
              </a:lnTo>
              <a:lnTo>
                <a:pt x="2238585" y="1575785"/>
              </a:lnTo>
              <a:lnTo>
                <a:pt x="2196702" y="1591384"/>
              </a:lnTo>
              <a:lnTo>
                <a:pt x="2153884" y="1607215"/>
              </a:lnTo>
              <a:lnTo>
                <a:pt x="2110257" y="1623229"/>
              </a:lnTo>
              <a:lnTo>
                <a:pt x="2065946" y="1639379"/>
              </a:lnTo>
              <a:lnTo>
                <a:pt x="2021075" y="1655617"/>
              </a:lnTo>
              <a:lnTo>
                <a:pt x="1975770" y="1671896"/>
              </a:lnTo>
              <a:lnTo>
                <a:pt x="1929787" y="1688286"/>
              </a:lnTo>
              <a:lnTo>
                <a:pt x="1882977" y="1704840"/>
              </a:lnTo>
              <a:lnTo>
                <a:pt x="1835607" y="1721482"/>
              </a:lnTo>
              <a:lnTo>
                <a:pt x="1787946" y="1738136"/>
              </a:lnTo>
              <a:lnTo>
                <a:pt x="1740260" y="1754725"/>
              </a:lnTo>
              <a:lnTo>
                <a:pt x="1692818" y="1771173"/>
              </a:lnTo>
              <a:lnTo>
                <a:pt x="1645293" y="1787576"/>
              </a:lnTo>
              <a:lnTo>
                <a:pt x="1597406" y="1804014"/>
              </a:lnTo>
              <a:lnTo>
                <a:pt x="1549495" y="1820387"/>
              </a:lnTo>
              <a:lnTo>
                <a:pt x="1501898" y="1836595"/>
              </a:lnTo>
              <a:lnTo>
                <a:pt x="1454953" y="1852539"/>
              </a:lnTo>
              <a:lnTo>
                <a:pt x="1409001" y="1868116"/>
              </a:lnTo>
              <a:lnTo>
                <a:pt x="1354719" y="1886469"/>
              </a:lnTo>
              <a:lnTo>
                <a:pt x="1301039" y="1904550"/>
              </a:lnTo>
              <a:lnTo>
                <a:pt x="1248469" y="1922194"/>
              </a:lnTo>
              <a:lnTo>
                <a:pt x="1197516" y="1939236"/>
              </a:lnTo>
              <a:lnTo>
                <a:pt x="1148687" y="1955514"/>
              </a:lnTo>
              <a:lnTo>
                <a:pt x="1090327" y="1974893"/>
              </a:lnTo>
              <a:lnTo>
                <a:pt x="1034585" y="1993308"/>
              </a:lnTo>
              <a:lnTo>
                <a:pt x="981980" y="2010578"/>
              </a:lnTo>
              <a:lnTo>
                <a:pt x="933033" y="2026520"/>
              </a:lnTo>
              <a:lnTo>
                <a:pt x="887847" y="2041032"/>
              </a:lnTo>
              <a:lnTo>
                <a:pt x="846155" y="2054228"/>
              </a:lnTo>
              <a:lnTo>
                <a:pt x="807927" y="2066255"/>
              </a:lnTo>
              <a:lnTo>
                <a:pt x="773129" y="2077260"/>
              </a:lnTo>
              <a:lnTo>
                <a:pt x="714025" y="2096126"/>
              </a:lnTo>
              <a:lnTo>
                <a:pt x="668283" y="2110861"/>
              </a:lnTo>
              <a:lnTo>
                <a:pt x="623601" y="2125734"/>
              </a:lnTo>
              <a:lnTo>
                <a:pt x="615273" y="2128560"/>
              </a:lnTo>
              <a:lnTo>
                <a:pt x="606396" y="2131553"/>
              </a:lnTo>
              <a:lnTo>
                <a:pt x="605569" y="2131274"/>
              </a:lnTo>
              <a:lnTo>
                <a:pt x="615022" y="2128819"/>
              </a:lnTo>
              <a:lnTo>
                <a:pt x="623581" y="2126454"/>
              </a:lnTo>
              <a:lnTo>
                <a:pt x="671988" y="2113835"/>
              </a:lnTo>
              <a:lnTo>
                <a:pt x="726839" y="2101399"/>
              </a:lnTo>
              <a:lnTo>
                <a:pt x="799744" y="2085675"/>
              </a:lnTo>
              <a:lnTo>
                <a:pt x="843450" y="2076453"/>
              </a:lnTo>
              <a:lnTo>
                <a:pt x="891933" y="2066323"/>
              </a:lnTo>
              <a:lnTo>
                <a:pt x="944671" y="2055545"/>
              </a:lnTo>
              <a:lnTo>
                <a:pt x="1001146" y="2044373"/>
              </a:lnTo>
              <a:lnTo>
                <a:pt x="1049063" y="2035208"/>
              </a:lnTo>
              <a:lnTo>
                <a:pt x="1099610" y="2025750"/>
              </a:lnTo>
              <a:lnTo>
                <a:pt x="1152596" y="2015980"/>
              </a:lnTo>
              <a:lnTo>
                <a:pt x="1207824" y="2005878"/>
              </a:lnTo>
              <a:lnTo>
                <a:pt x="1265103" y="1995423"/>
              </a:lnTo>
              <a:lnTo>
                <a:pt x="1314640" y="1986374"/>
              </a:lnTo>
              <a:lnTo>
                <a:pt x="1365988" y="1977008"/>
              </a:lnTo>
              <a:lnTo>
                <a:pt x="1418849" y="1967406"/>
              </a:lnTo>
              <a:lnTo>
                <a:pt x="1472925" y="1957651"/>
              </a:lnTo>
              <a:lnTo>
                <a:pt x="1527921" y="1947825"/>
              </a:lnTo>
              <a:lnTo>
                <a:pt x="1583538" y="1938009"/>
              </a:lnTo>
              <a:lnTo>
                <a:pt x="1631985" y="1929568"/>
              </a:lnTo>
              <a:lnTo>
                <a:pt x="1681448" y="1921034"/>
              </a:lnTo>
              <a:lnTo>
                <a:pt x="1731672" y="1912439"/>
              </a:lnTo>
              <a:lnTo>
                <a:pt x="1782400" y="1903810"/>
              </a:lnTo>
              <a:lnTo>
                <a:pt x="1833376" y="1895178"/>
              </a:lnTo>
              <a:lnTo>
                <a:pt x="1884344" y="1886573"/>
              </a:lnTo>
              <a:lnTo>
                <a:pt x="1935048" y="1878024"/>
              </a:lnTo>
              <a:lnTo>
                <a:pt x="1985933" y="1869479"/>
              </a:lnTo>
              <a:lnTo>
                <a:pt x="2037376" y="1860894"/>
              </a:lnTo>
              <a:lnTo>
                <a:pt x="2089016" y="1852312"/>
              </a:lnTo>
              <a:lnTo>
                <a:pt x="2140494" y="1843775"/>
              </a:lnTo>
              <a:lnTo>
                <a:pt x="2191447" y="1835324"/>
              </a:lnTo>
              <a:lnTo>
                <a:pt x="2241517" y="1827002"/>
              </a:lnTo>
              <a:lnTo>
                <a:pt x="2290342" y="1818850"/>
              </a:lnTo>
              <a:lnTo>
                <a:pt x="2346195" y="1809497"/>
              </a:lnTo>
              <a:lnTo>
                <a:pt x="2401341" y="1800257"/>
              </a:lnTo>
              <a:lnTo>
                <a:pt x="2455448" y="1791173"/>
              </a:lnTo>
              <a:lnTo>
                <a:pt x="2508181" y="1782287"/>
              </a:lnTo>
              <a:lnTo>
                <a:pt x="2559209" y="1773642"/>
              </a:lnTo>
              <a:lnTo>
                <a:pt x="2608198" y="1765280"/>
              </a:lnTo>
              <a:lnTo>
                <a:pt x="2664554" y="1755580"/>
              </a:lnTo>
              <a:lnTo>
                <a:pt x="2718609" y="1746199"/>
              </a:lnTo>
              <a:lnTo>
                <a:pt x="2770130" y="1737179"/>
              </a:lnTo>
              <a:lnTo>
                <a:pt x="2818886" y="1728559"/>
              </a:lnTo>
              <a:lnTo>
                <a:pt x="2864646" y="1720381"/>
              </a:lnTo>
              <a:lnTo>
                <a:pt x="2917598" y="1710756"/>
              </a:lnTo>
              <a:lnTo>
                <a:pt x="2966073" y="1701767"/>
              </a:lnTo>
              <a:lnTo>
                <a:pt x="3010180" y="1693447"/>
              </a:lnTo>
              <a:lnTo>
                <a:pt x="3050034" y="1685828"/>
              </a:lnTo>
              <a:lnTo>
                <a:pt x="3116681" y="1672385"/>
              </a:lnTo>
              <a:lnTo>
                <a:pt x="3143678" y="1666815"/>
              </a:lnTo>
              <a:lnTo>
                <a:pt x="3166756" y="1662323"/>
              </a:lnTo>
              <a:lnTo>
                <a:pt x="3185832" y="1658915"/>
              </a:lnTo>
              <a:lnTo>
                <a:pt x="3200834" y="1656485"/>
              </a:lnTo>
              <a:lnTo>
                <a:pt x="3212002" y="1655098"/>
              </a:lnTo>
              <a:lnTo>
                <a:pt x="3219578" y="1654819"/>
              </a:lnTo>
              <a:lnTo>
                <a:pt x="3227392" y="1655213"/>
              </a:lnTo>
              <a:lnTo>
                <a:pt x="3191417" y="1675320"/>
              </a:lnTo>
              <a:lnTo>
                <a:pt x="3138424" y="1698193"/>
              </a:lnTo>
              <a:lnTo>
                <a:pt x="3091621" y="1717984"/>
              </a:lnTo>
              <a:lnTo>
                <a:pt x="3064888" y="1729301"/>
              </a:lnTo>
              <a:lnTo>
                <a:pt x="3035859" y="1741671"/>
              </a:lnTo>
              <a:lnTo>
                <a:pt x="3004520" y="1755050"/>
              </a:lnTo>
              <a:lnTo>
                <a:pt x="2971136" y="1769255"/>
              </a:lnTo>
              <a:lnTo>
                <a:pt x="2935972" y="1784099"/>
              </a:lnTo>
              <a:lnTo>
                <a:pt x="2898697" y="1799758"/>
              </a:lnTo>
              <a:lnTo>
                <a:pt x="2859304" y="1816255"/>
              </a:lnTo>
              <a:lnTo>
                <a:pt x="2818543" y="1833181"/>
              </a:lnTo>
              <a:lnTo>
                <a:pt x="2777165" y="1850125"/>
              </a:lnTo>
              <a:lnTo>
                <a:pt x="2734975" y="1867134"/>
              </a:lnTo>
              <a:lnTo>
                <a:pt x="2691705" y="1884372"/>
              </a:lnTo>
              <a:lnTo>
                <a:pt x="2647993" y="1901616"/>
              </a:lnTo>
              <a:lnTo>
                <a:pt x="2604476" y="1918642"/>
              </a:lnTo>
              <a:lnTo>
                <a:pt x="2560986" y="1935459"/>
              </a:lnTo>
              <a:lnTo>
                <a:pt x="2517296" y="1952162"/>
              </a:lnTo>
              <a:lnTo>
                <a:pt x="2473955" y="1968660"/>
              </a:lnTo>
              <a:lnTo>
                <a:pt x="2431512" y="1984857"/>
              </a:lnTo>
              <a:lnTo>
                <a:pt x="2389739" y="2000895"/>
              </a:lnTo>
              <a:lnTo>
                <a:pt x="2348467" y="2016770"/>
              </a:lnTo>
              <a:lnTo>
                <a:pt x="2308336" y="2032165"/>
              </a:lnTo>
              <a:lnTo>
                <a:pt x="2269986" y="2046763"/>
              </a:lnTo>
              <a:lnTo>
                <a:pt x="2233310" y="2060547"/>
              </a:lnTo>
              <a:lnTo>
                <a:pt x="2198061" y="2073663"/>
              </a:lnTo>
              <a:lnTo>
                <a:pt x="2164661" y="2086042"/>
              </a:lnTo>
              <a:lnTo>
                <a:pt x="2133534" y="2097613"/>
              </a:lnTo>
              <a:lnTo>
                <a:pt x="2104667" y="2108407"/>
              </a:lnTo>
              <a:lnTo>
                <a:pt x="2077877" y="2118445"/>
              </a:lnTo>
              <a:lnTo>
                <a:pt x="2053330" y="2127641"/>
              </a:lnTo>
              <a:lnTo>
                <a:pt x="2031195" y="2135908"/>
              </a:lnTo>
              <a:lnTo>
                <a:pt x="2011267" y="2143385"/>
              </a:lnTo>
              <a:lnTo>
                <a:pt x="1993539" y="2150065"/>
              </a:lnTo>
              <a:lnTo>
                <a:pt x="1978478" y="2155638"/>
              </a:lnTo>
              <a:lnTo>
                <a:pt x="1966552" y="2159797"/>
              </a:lnTo>
              <a:lnTo>
                <a:pt x="1952949" y="2164263"/>
              </a:lnTo>
              <a:lnTo>
                <a:pt x="1947540" y="2165184"/>
              </a:lnTo>
              <a:lnTo>
                <a:pt x="1949575" y="2162701"/>
              </a:lnTo>
              <a:lnTo>
                <a:pt x="1994682" y="2136635"/>
              </a:lnTo>
              <a:lnTo>
                <a:pt x="2036899" y="2115697"/>
              </a:lnTo>
              <a:lnTo>
                <a:pt x="2093292" y="2090484"/>
              </a:lnTo>
              <a:lnTo>
                <a:pt x="2163860" y="2060996"/>
              </a:lnTo>
              <a:lnTo>
                <a:pt x="2205032" y="2044541"/>
              </a:lnTo>
              <a:lnTo>
                <a:pt x="2250561" y="2026865"/>
              </a:lnTo>
              <a:lnTo>
                <a:pt x="2300213" y="2008005"/>
              </a:lnTo>
              <a:lnTo>
                <a:pt x="2353394" y="1988091"/>
              </a:lnTo>
              <a:lnTo>
                <a:pt x="2409510" y="1967258"/>
              </a:lnTo>
              <a:lnTo>
                <a:pt x="2456737" y="1949833"/>
              </a:lnTo>
              <a:lnTo>
                <a:pt x="2506284" y="1931675"/>
              </a:lnTo>
              <a:lnTo>
                <a:pt x="2557678" y="1912957"/>
              </a:lnTo>
              <a:lnTo>
                <a:pt x="2610447" y="1893856"/>
              </a:lnTo>
              <a:lnTo>
                <a:pt x="2664116" y="1874545"/>
              </a:lnTo>
              <a:lnTo>
                <a:pt x="2709774" y="1858241"/>
              </a:lnTo>
              <a:lnTo>
                <a:pt x="2756598" y="1841642"/>
              </a:lnTo>
              <a:lnTo>
                <a:pt x="2804267" y="1824816"/>
              </a:lnTo>
              <a:lnTo>
                <a:pt x="2852459" y="1807833"/>
              </a:lnTo>
              <a:lnTo>
                <a:pt x="2900852" y="1790764"/>
              </a:lnTo>
              <a:lnTo>
                <a:pt x="2949127" y="1773677"/>
              </a:lnTo>
              <a:lnTo>
                <a:pt x="2997578" y="1756470"/>
              </a:lnTo>
              <a:lnTo>
                <a:pt x="3046520" y="1739066"/>
              </a:lnTo>
              <a:lnTo>
                <a:pt x="3095665" y="1721576"/>
              </a:lnTo>
              <a:lnTo>
                <a:pt x="3144722" y="1704108"/>
              </a:lnTo>
              <a:lnTo>
                <a:pt x="3193399" y="1686772"/>
              </a:lnTo>
              <a:lnTo>
                <a:pt x="3241408" y="1669679"/>
              </a:lnTo>
              <a:lnTo>
                <a:pt x="3289040" y="1652718"/>
              </a:lnTo>
              <a:lnTo>
                <a:pt x="3336586" y="1635778"/>
              </a:lnTo>
              <a:lnTo>
                <a:pt x="3383754" y="1618971"/>
              </a:lnTo>
              <a:lnTo>
                <a:pt x="3430250" y="1602407"/>
              </a:lnTo>
              <a:lnTo>
                <a:pt x="3475781" y="1586198"/>
              </a:lnTo>
              <a:lnTo>
                <a:pt x="3520053" y="1570456"/>
              </a:lnTo>
              <a:lnTo>
                <a:pt x="3571844" y="1552089"/>
              </a:lnTo>
              <a:lnTo>
                <a:pt x="3622474" y="1534177"/>
              </a:lnTo>
              <a:lnTo>
                <a:pt x="3671600" y="1516805"/>
              </a:lnTo>
              <a:lnTo>
                <a:pt x="3718877" y="1500054"/>
              </a:lnTo>
              <a:lnTo>
                <a:pt x="3763960" y="1484007"/>
              </a:lnTo>
              <a:lnTo>
                <a:pt x="3817350" y="1464916"/>
              </a:lnTo>
              <a:lnTo>
                <a:pt x="3867729" y="1446829"/>
              </a:lnTo>
              <a:lnTo>
                <a:pt x="3914922" y="1429775"/>
              </a:lnTo>
              <a:lnTo>
                <a:pt x="3958758" y="1413781"/>
              </a:lnTo>
              <a:lnTo>
                <a:pt x="3999457" y="1398760"/>
              </a:lnTo>
              <a:lnTo>
                <a:pt x="4037023" y="1384728"/>
              </a:lnTo>
              <a:lnTo>
                <a:pt x="4100749" y="1360366"/>
              </a:lnTo>
              <a:lnTo>
                <a:pt x="4147892" y="1341224"/>
              </a:lnTo>
              <a:lnTo>
                <a:pt x="4189104" y="1323238"/>
              </a:lnTo>
              <a:lnTo>
                <a:pt x="4197051" y="1318866"/>
              </a:lnTo>
              <a:lnTo>
                <a:pt x="4194788" y="1319007"/>
              </a:lnTo>
              <a:lnTo>
                <a:pt x="4143822" y="1335162"/>
              </a:lnTo>
              <a:lnTo>
                <a:pt x="4092677" y="1353486"/>
              </a:lnTo>
              <a:lnTo>
                <a:pt x="4027738" y="1377184"/>
              </a:lnTo>
              <a:lnTo>
                <a:pt x="3991311" y="1390460"/>
              </a:lnTo>
              <a:lnTo>
                <a:pt x="3951832" y="1404871"/>
              </a:lnTo>
              <a:lnTo>
                <a:pt x="3909975" y="1420225"/>
              </a:lnTo>
              <a:lnTo>
                <a:pt x="3866414" y="1436335"/>
              </a:lnTo>
              <a:lnTo>
                <a:pt x="3820629" y="1453420"/>
              </a:lnTo>
              <a:lnTo>
                <a:pt x="3772493" y="1471490"/>
              </a:lnTo>
              <a:lnTo>
                <a:pt x="3723273" y="1490043"/>
              </a:lnTo>
              <a:lnTo>
                <a:pt x="3674237" y="1508576"/>
              </a:lnTo>
              <a:lnTo>
                <a:pt x="3625111" y="1527141"/>
              </a:lnTo>
              <a:lnTo>
                <a:pt x="3575423" y="1545944"/>
              </a:lnTo>
              <a:lnTo>
                <a:pt x="3526141" y="1564714"/>
              </a:lnTo>
              <a:lnTo>
                <a:pt x="3478233" y="1583182"/>
              </a:lnTo>
              <a:lnTo>
                <a:pt x="3431495" y="1601470"/>
              </a:lnTo>
              <a:lnTo>
                <a:pt x="3385566" y="1619657"/>
              </a:lnTo>
              <a:lnTo>
                <a:pt x="3341174" y="1637408"/>
              </a:lnTo>
              <a:lnTo>
                <a:pt x="3299049" y="1654387"/>
              </a:lnTo>
              <a:lnTo>
                <a:pt x="3259147" y="1670579"/>
              </a:lnTo>
              <a:lnTo>
                <a:pt x="3221157" y="1686139"/>
              </a:lnTo>
              <a:lnTo>
                <a:pt x="3185414" y="1700983"/>
              </a:lnTo>
              <a:lnTo>
                <a:pt x="3121311" y="1728418"/>
              </a:lnTo>
              <a:lnTo>
                <a:pt x="3066838" y="1752885"/>
              </a:lnTo>
              <a:lnTo>
                <a:pt x="3026785" y="1772498"/>
              </a:lnTo>
              <a:lnTo>
                <a:pt x="2993941" y="1795751"/>
              </a:lnTo>
              <a:lnTo>
                <a:pt x="2997163" y="1797574"/>
              </a:lnTo>
              <a:lnTo>
                <a:pt x="3005146" y="1797981"/>
              </a:lnTo>
              <a:lnTo>
                <a:pt x="3018202" y="1797122"/>
              </a:lnTo>
              <a:lnTo>
                <a:pt x="3059971" y="1791286"/>
              </a:lnTo>
              <a:lnTo>
                <a:pt x="3120749" y="1780837"/>
              </a:lnTo>
              <a:lnTo>
                <a:pt x="3200426" y="1766517"/>
              </a:lnTo>
              <a:lnTo>
                <a:pt x="3246621" y="1757957"/>
              </a:lnTo>
              <a:lnTo>
                <a:pt x="3295864" y="1748693"/>
              </a:lnTo>
              <a:lnTo>
                <a:pt x="3337815" y="1740688"/>
              </a:lnTo>
              <a:lnTo>
                <a:pt x="3382412" y="1732081"/>
              </a:lnTo>
              <a:lnTo>
                <a:pt x="3428896" y="1723044"/>
              </a:lnTo>
              <a:lnTo>
                <a:pt x="3476511" y="1713748"/>
              </a:lnTo>
              <a:lnTo>
                <a:pt x="3524497" y="1704365"/>
              </a:lnTo>
              <a:lnTo>
                <a:pt x="3573297" y="1694824"/>
              </a:lnTo>
              <a:lnTo>
                <a:pt x="3623417" y="1685011"/>
              </a:lnTo>
              <a:lnTo>
                <a:pt x="3674192" y="1675032"/>
              </a:lnTo>
              <a:lnTo>
                <a:pt x="3724960" y="1664993"/>
              </a:lnTo>
              <a:lnTo>
                <a:pt x="3775059" y="1655001"/>
              </a:lnTo>
              <a:lnTo>
                <a:pt x="3824874" y="1644966"/>
              </a:lnTo>
              <a:lnTo>
                <a:pt x="3874849" y="1634819"/>
              </a:lnTo>
              <a:lnTo>
                <a:pt x="3924402" y="1624691"/>
              </a:lnTo>
              <a:lnTo>
                <a:pt x="3972953" y="1614717"/>
              </a:lnTo>
              <a:lnTo>
                <a:pt x="4019921" y="1605030"/>
              </a:lnTo>
              <a:lnTo>
                <a:pt x="4076897" y="1593228"/>
              </a:lnTo>
              <a:lnTo>
                <a:pt x="4132292" y="1581679"/>
              </a:lnTo>
              <a:lnTo>
                <a:pt x="4185245" y="1570551"/>
              </a:lnTo>
              <a:lnTo>
                <a:pt x="4234895" y="1560010"/>
              </a:lnTo>
              <a:lnTo>
                <a:pt x="4281161" y="1550078"/>
              </a:lnTo>
              <a:lnTo>
                <a:pt x="4324452" y="1540671"/>
              </a:lnTo>
              <a:lnTo>
                <a:pt x="4364646" y="1531807"/>
              </a:lnTo>
              <a:lnTo>
                <a:pt x="4435528" y="1515596"/>
              </a:lnTo>
              <a:lnTo>
                <a:pt x="4493807" y="1501444"/>
              </a:lnTo>
              <a:lnTo>
                <a:pt x="4517500" y="1495831"/>
              </a:lnTo>
              <a:lnTo>
                <a:pt x="4565963" y="1485041"/>
              </a:lnTo>
              <a:lnTo>
                <a:pt x="4585644" y="1483007"/>
              </a:lnTo>
              <a:lnTo>
                <a:pt x="4586269" y="1486005"/>
              </a:lnTo>
              <a:lnTo>
                <a:pt x="4550384" y="1507997"/>
              </a:lnTo>
              <a:lnTo>
                <a:pt x="4498029" y="1532605"/>
              </a:lnTo>
              <a:lnTo>
                <a:pt x="4475822" y="1542543"/>
              </a:lnTo>
              <a:lnTo>
                <a:pt x="4451776" y="1553440"/>
              </a:lnTo>
              <a:lnTo>
                <a:pt x="4397783" y="1578240"/>
              </a:lnTo>
              <a:lnTo>
                <a:pt x="4336695" y="1606561"/>
              </a:lnTo>
              <a:lnTo>
                <a:pt x="4268690" y="1638433"/>
              </a:lnTo>
              <a:lnTo>
                <a:pt x="4232675" y="1655444"/>
              </a:lnTo>
              <a:lnTo>
                <a:pt x="4196285" y="1672769"/>
              </a:lnTo>
              <a:lnTo>
                <a:pt x="4159383" y="1690535"/>
              </a:lnTo>
              <a:lnTo>
                <a:pt x="4121692" y="1708834"/>
              </a:lnTo>
              <a:lnTo>
                <a:pt x="4083729" y="1727309"/>
              </a:lnTo>
              <a:lnTo>
                <a:pt x="4046011" y="1745606"/>
              </a:lnTo>
              <a:lnTo>
                <a:pt x="4008272" y="1763749"/>
              </a:lnTo>
              <a:lnTo>
                <a:pt x="3970370" y="1781889"/>
              </a:lnTo>
              <a:lnTo>
                <a:pt x="3933011" y="1799855"/>
              </a:lnTo>
              <a:lnTo>
                <a:pt x="3896901" y="1817476"/>
              </a:lnTo>
              <a:lnTo>
                <a:pt x="3862044" y="1834749"/>
              </a:lnTo>
              <a:lnTo>
                <a:pt x="3795369" y="1868431"/>
              </a:lnTo>
              <a:lnTo>
                <a:pt x="3733886" y="1900784"/>
              </a:lnTo>
              <a:lnTo>
                <a:pt x="3677595" y="1931808"/>
              </a:lnTo>
              <a:lnTo>
                <a:pt x="3628281" y="1960339"/>
              </a:lnTo>
              <a:lnTo>
                <a:pt x="3585942" y="1986379"/>
              </a:lnTo>
              <a:lnTo>
                <a:pt x="3552234" y="2008516"/>
              </a:lnTo>
              <a:lnTo>
                <a:pt x="3518705" y="2034114"/>
              </a:lnTo>
              <a:lnTo>
                <a:pt x="3506756" y="2049689"/>
              </a:lnTo>
              <a:lnTo>
                <a:pt x="3512955" y="2051560"/>
              </a:lnTo>
              <a:lnTo>
                <a:pt x="3519032" y="2052188"/>
              </a:lnTo>
              <a:lnTo>
                <a:pt x="3528091" y="2051312"/>
              </a:lnTo>
              <a:lnTo>
                <a:pt x="3574732" y="2040264"/>
              </a:lnTo>
              <a:lnTo>
                <a:pt x="3622276" y="2025960"/>
              </a:lnTo>
              <a:lnTo>
                <a:pt x="3651552" y="2017008"/>
              </a:lnTo>
              <a:lnTo>
                <a:pt x="3684803" y="2006890"/>
              </a:lnTo>
              <a:lnTo>
                <a:pt x="3721832" y="1995549"/>
              </a:lnTo>
              <a:lnTo>
                <a:pt x="3762313" y="1983053"/>
              </a:lnTo>
              <a:lnTo>
                <a:pt x="3805919" y="1969473"/>
              </a:lnTo>
              <a:lnTo>
                <a:pt x="3852959" y="1954733"/>
              </a:lnTo>
              <a:lnTo>
                <a:pt x="3903475" y="1938826"/>
              </a:lnTo>
              <a:lnTo>
                <a:pt x="3956740" y="1921929"/>
              </a:lnTo>
              <a:lnTo>
                <a:pt x="4012026" y="1904218"/>
              </a:lnTo>
              <a:lnTo>
                <a:pt x="4058023" y="1889397"/>
              </a:lnTo>
              <a:lnTo>
                <a:pt x="4105899" y="1873924"/>
              </a:lnTo>
              <a:lnTo>
                <a:pt x="4155008" y="1857938"/>
              </a:lnTo>
              <a:lnTo>
                <a:pt x="4204706" y="1841582"/>
              </a:lnTo>
              <a:lnTo>
                <a:pt x="4254347" y="1824996"/>
              </a:lnTo>
              <a:lnTo>
                <a:pt x="4304352" y="1808059"/>
              </a:lnTo>
              <a:lnTo>
                <a:pt x="4355153" y="1790677"/>
              </a:lnTo>
              <a:lnTo>
                <a:pt x="4406115" y="1773032"/>
              </a:lnTo>
              <a:lnTo>
                <a:pt x="4456607" y="1755305"/>
              </a:lnTo>
              <a:lnTo>
                <a:pt x="4505996" y="1737676"/>
              </a:lnTo>
              <a:lnTo>
                <a:pt x="4554574" y="1720008"/>
              </a:lnTo>
              <a:lnTo>
                <a:pt x="4602765" y="1702178"/>
              </a:lnTo>
              <a:lnTo>
                <a:pt x="4650128" y="1684396"/>
              </a:lnTo>
              <a:lnTo>
                <a:pt x="4696219" y="1666871"/>
              </a:lnTo>
              <a:lnTo>
                <a:pt x="4740599" y="1649814"/>
              </a:lnTo>
              <a:lnTo>
                <a:pt x="4794015" y="1628981"/>
              </a:lnTo>
              <a:lnTo>
                <a:pt x="4845417" y="1608563"/>
              </a:lnTo>
              <a:lnTo>
                <a:pt x="4894202" y="1588850"/>
              </a:lnTo>
              <a:lnTo>
                <a:pt x="4939764" y="1570135"/>
              </a:lnTo>
              <a:lnTo>
                <a:pt x="4981999" y="1552487"/>
              </a:lnTo>
              <a:lnTo>
                <a:pt x="5021211" y="1535754"/>
              </a:lnTo>
              <a:lnTo>
                <a:pt x="5057407" y="1519891"/>
              </a:lnTo>
              <a:lnTo>
                <a:pt x="5120615" y="1490621"/>
              </a:lnTo>
              <a:lnTo>
                <a:pt x="5171623" y="1464676"/>
              </a:lnTo>
              <a:lnTo>
                <a:pt x="5212235" y="1442232"/>
              </a:lnTo>
              <a:lnTo>
                <a:pt x="5254331" y="1415074"/>
              </a:lnTo>
              <a:lnTo>
                <a:pt x="5284414" y="1384451"/>
              </a:lnTo>
              <a:lnTo>
                <a:pt x="5282859" y="1379790"/>
              </a:lnTo>
              <a:lnTo>
                <a:pt x="5274644" y="1378509"/>
              </a:lnTo>
              <a:lnTo>
                <a:pt x="5267310" y="1378119"/>
              </a:lnTo>
              <a:lnTo>
                <a:pt x="5257675" y="1378792"/>
              </a:lnTo>
              <a:lnTo>
                <a:pt x="5215600" y="1386140"/>
              </a:lnTo>
              <a:lnTo>
                <a:pt x="5176725" y="1395303"/>
              </a:lnTo>
              <a:lnTo>
                <a:pt x="5127634" y="1407835"/>
              </a:lnTo>
              <a:lnTo>
                <a:pt x="5068327" y="1423735"/>
              </a:lnTo>
              <a:lnTo>
                <a:pt x="5000038" y="1443322"/>
              </a:lnTo>
              <a:lnTo>
                <a:pt x="4962386" y="1454568"/>
              </a:lnTo>
              <a:lnTo>
                <a:pt x="4922769" y="1466595"/>
              </a:lnTo>
              <a:lnTo>
                <a:pt x="4881574" y="1479231"/>
              </a:lnTo>
              <a:lnTo>
                <a:pt x="4838396" y="1492608"/>
              </a:lnTo>
              <a:lnTo>
                <a:pt x="4793197" y="1506757"/>
              </a:lnTo>
              <a:lnTo>
                <a:pt x="4746920" y="1521358"/>
              </a:lnTo>
              <a:lnTo>
                <a:pt x="4700509" y="1536086"/>
              </a:lnTo>
              <a:lnTo>
                <a:pt x="4653704" y="1550983"/>
              </a:lnTo>
              <a:lnTo>
                <a:pt x="4606173" y="1566179"/>
              </a:lnTo>
              <a:lnTo>
                <a:pt x="4558748" y="1581482"/>
              </a:lnTo>
              <a:lnTo>
                <a:pt x="4512262" y="1596700"/>
              </a:lnTo>
              <a:lnTo>
                <a:pt x="4466498" y="1611926"/>
              </a:lnTo>
              <a:lnTo>
                <a:pt x="4421158" y="1627214"/>
              </a:lnTo>
              <a:lnTo>
                <a:pt x="4376954" y="1642317"/>
              </a:lnTo>
              <a:lnTo>
                <a:pt x="4334598" y="1656992"/>
              </a:lnTo>
              <a:lnTo>
                <a:pt x="4293981" y="1671275"/>
              </a:lnTo>
              <a:lnTo>
                <a:pt x="4254823" y="1685262"/>
              </a:lnTo>
              <a:lnTo>
                <a:pt x="4217579" y="1698799"/>
              </a:lnTo>
              <a:lnTo>
                <a:pt x="4149804" y="1724229"/>
              </a:lnTo>
              <a:lnTo>
                <a:pt x="4090657" y="1747565"/>
              </a:lnTo>
              <a:lnTo>
                <a:pt x="4045688" y="1766503"/>
              </a:lnTo>
              <a:lnTo>
                <a:pt x="4005198" y="1786446"/>
              </a:lnTo>
              <a:lnTo>
                <a:pt x="4051682" y="1785958"/>
              </a:lnTo>
              <a:lnTo>
                <a:pt x="4103416" y="1772006"/>
              </a:lnTo>
              <a:lnTo>
                <a:pt x="4171245" y="1751884"/>
              </a:lnTo>
              <a:lnTo>
                <a:pt x="4210116" y="1740109"/>
              </a:lnTo>
              <a:lnTo>
                <a:pt x="4252258" y="1727262"/>
              </a:lnTo>
              <a:lnTo>
                <a:pt x="4297856" y="1713228"/>
              </a:lnTo>
              <a:lnTo>
                <a:pt x="4346456" y="1698139"/>
              </a:lnTo>
              <a:lnTo>
                <a:pt x="4397604" y="1682125"/>
              </a:lnTo>
              <a:lnTo>
                <a:pt x="4440815" y="1668501"/>
              </a:lnTo>
              <a:lnTo>
                <a:pt x="4486287" y="1654090"/>
              </a:lnTo>
              <a:lnTo>
                <a:pt x="4533220" y="1639143"/>
              </a:lnTo>
              <a:lnTo>
                <a:pt x="4580816" y="1623913"/>
              </a:lnTo>
              <a:lnTo>
                <a:pt x="4628277" y="1608652"/>
              </a:lnTo>
              <a:lnTo>
                <a:pt x="4676053" y="1593186"/>
              </a:lnTo>
              <a:lnTo>
                <a:pt x="4724674" y="1577345"/>
              </a:lnTo>
              <a:lnTo>
                <a:pt x="4773468" y="1561392"/>
              </a:lnTo>
              <a:lnTo>
                <a:pt x="4821763" y="1545592"/>
              </a:lnTo>
              <a:lnTo>
                <a:pt x="4868884" y="1530206"/>
              </a:lnTo>
              <a:lnTo>
                <a:pt x="4915137" y="1515164"/>
              </a:lnTo>
              <a:lnTo>
                <a:pt x="4960971" y="1500290"/>
              </a:lnTo>
              <a:lnTo>
                <a:pt x="5005927" y="1485691"/>
              </a:lnTo>
              <a:lnTo>
                <a:pt x="5049551" y="1471475"/>
              </a:lnTo>
              <a:lnTo>
                <a:pt x="5091383" y="1457748"/>
              </a:lnTo>
              <a:lnTo>
                <a:pt x="5141467" y="1441180"/>
              </a:lnTo>
              <a:lnTo>
                <a:pt x="5189406" y="1425208"/>
              </a:lnTo>
              <a:lnTo>
                <a:pt x="5234670" y="1410004"/>
              </a:lnTo>
              <a:lnTo>
                <a:pt x="5276727" y="1395742"/>
              </a:lnTo>
              <a:lnTo>
                <a:pt x="5315544" y="1382236"/>
              </a:lnTo>
              <a:lnTo>
                <a:pt x="5351368" y="1369471"/>
              </a:lnTo>
              <a:lnTo>
                <a:pt x="5384091" y="1357877"/>
              </a:lnTo>
              <a:lnTo>
                <a:pt x="5439799" y="1339470"/>
              </a:lnTo>
              <a:lnTo>
                <a:pt x="5482668" y="1327014"/>
              </a:lnTo>
              <a:lnTo>
                <a:pt x="5524748" y="1321415"/>
              </a:lnTo>
              <a:lnTo>
                <a:pt x="5533126" y="1322940"/>
              </a:lnTo>
              <a:lnTo>
                <a:pt x="5539381" y="1325953"/>
              </a:lnTo>
              <a:lnTo>
                <a:pt x="5543368" y="1330524"/>
              </a:lnTo>
              <a:lnTo>
                <a:pt x="5544924" y="1336685"/>
              </a:lnTo>
              <a:lnTo>
                <a:pt x="5544502" y="1344255"/>
              </a:lnTo>
              <a:lnTo>
                <a:pt x="5526513" y="1387273"/>
              </a:lnTo>
              <a:lnTo>
                <a:pt x="5500511" y="1430704"/>
              </a:lnTo>
              <a:lnTo>
                <a:pt x="5479236" y="1463586"/>
              </a:lnTo>
              <a:lnTo>
                <a:pt x="5456009" y="1498499"/>
              </a:lnTo>
              <a:lnTo>
                <a:pt x="5443876" y="1516575"/>
              </a:lnTo>
              <a:lnTo>
                <a:pt x="5431938" y="1534659"/>
              </a:lnTo>
              <a:lnTo>
                <a:pt x="5408385" y="1571278"/>
              </a:lnTo>
              <a:lnTo>
                <a:pt x="5385591" y="1607487"/>
              </a:lnTo>
              <a:lnTo>
                <a:pt x="5364157" y="1642277"/>
              </a:lnTo>
              <a:lnTo>
                <a:pt x="5344356" y="1675291"/>
              </a:lnTo>
              <a:lnTo>
                <a:pt x="5318526" y="1720385"/>
              </a:lnTo>
              <a:lnTo>
                <a:pt x="5297780" y="1758663"/>
              </a:lnTo>
              <a:lnTo>
                <a:pt x="5280534" y="1796058"/>
              </a:lnTo>
              <a:lnTo>
                <a:pt x="5276908" y="1813892"/>
              </a:lnTo>
              <a:lnTo>
                <a:pt x="5278283" y="1816810"/>
              </a:lnTo>
              <a:lnTo>
                <a:pt x="5323281" y="1796698"/>
              </a:lnTo>
              <a:lnTo>
                <a:pt x="5363324" y="1770477"/>
              </a:lnTo>
              <a:lnTo>
                <a:pt x="5396011" y="1747902"/>
              </a:lnTo>
              <a:lnTo>
                <a:pt x="5413992" y="1735296"/>
              </a:lnTo>
              <a:lnTo>
                <a:pt x="5432757" y="1722204"/>
              </a:lnTo>
              <a:lnTo>
                <a:pt x="5452454" y="1708566"/>
              </a:lnTo>
              <a:lnTo>
                <a:pt x="5473137" y="1694271"/>
              </a:lnTo>
              <a:lnTo>
                <a:pt x="5494429" y="1679540"/>
              </a:lnTo>
              <a:lnTo>
                <a:pt x="5537872" y="1649325"/>
              </a:lnTo>
              <a:lnTo>
                <a:pt x="5582783" y="1617923"/>
              </a:lnTo>
              <a:lnTo>
                <a:pt x="5626561" y="1587053"/>
              </a:lnTo>
              <a:lnTo>
                <a:pt x="5669206" y="1556713"/>
              </a:lnTo>
              <a:lnTo>
                <a:pt x="5709356" y="1527484"/>
              </a:lnTo>
              <a:lnTo>
                <a:pt x="5747012" y="1499366"/>
              </a:lnTo>
              <a:lnTo>
                <a:pt x="5780548" y="1473901"/>
              </a:lnTo>
              <a:lnTo>
                <a:pt x="5822985" y="1440738"/>
              </a:lnTo>
              <a:lnTo>
                <a:pt x="5855235" y="1413485"/>
              </a:lnTo>
              <a:lnTo>
                <a:pt x="5863626" y="1406431"/>
              </a:lnTo>
              <a:lnTo>
                <a:pt x="5888715" y="1387891"/>
              </a:lnTo>
              <a:lnTo>
                <a:pt x="5888881" y="1388636"/>
              </a:lnTo>
              <a:lnTo>
                <a:pt x="5863367" y="1419262"/>
              </a:lnTo>
              <a:lnTo>
                <a:pt x="5835513" y="1449687"/>
              </a:lnTo>
              <a:lnTo>
                <a:pt x="5799977" y="1487540"/>
              </a:lnTo>
              <a:lnTo>
                <a:pt x="5772300" y="1516155"/>
              </a:lnTo>
              <a:lnTo>
                <a:pt x="5741334" y="1546893"/>
              </a:lnTo>
              <a:lnTo>
                <a:pt x="5707804" y="1579057"/>
              </a:lnTo>
              <a:lnTo>
                <a:pt x="5672071" y="1611983"/>
              </a:lnTo>
              <a:lnTo>
                <a:pt x="5635135" y="1645110"/>
              </a:lnTo>
              <a:lnTo>
                <a:pt x="5597724" y="1677888"/>
              </a:lnTo>
              <a:lnTo>
                <a:pt x="5561008" y="1709611"/>
              </a:lnTo>
              <a:lnTo>
                <a:pt x="5526282" y="1739477"/>
              </a:lnTo>
              <a:lnTo>
                <a:pt x="5509685" y="1753691"/>
              </a:lnTo>
              <a:lnTo>
                <a:pt x="5493891" y="1767232"/>
              </a:lnTo>
              <a:lnTo>
                <a:pt x="5478890" y="1780110"/>
              </a:lnTo>
              <a:lnTo>
                <a:pt x="5464588" y="1792386"/>
              </a:lnTo>
              <a:lnTo>
                <a:pt x="5451076" y="1803991"/>
              </a:lnTo>
              <a:lnTo>
                <a:pt x="5438448" y="1814856"/>
              </a:lnTo>
              <a:lnTo>
                <a:pt x="5426674" y="1825055"/>
              </a:lnTo>
              <a:lnTo>
                <a:pt x="5415723" y="1834594"/>
              </a:lnTo>
              <a:lnTo>
                <a:pt x="5405684" y="1843301"/>
              </a:lnTo>
              <a:lnTo>
                <a:pt x="5375275" y="1868371"/>
              </a:lnTo>
              <a:lnTo>
                <a:pt x="5361976" y="1877493"/>
              </a:lnTo>
              <a:lnTo>
                <a:pt x="5362859" y="1875445"/>
              </a:lnTo>
              <a:lnTo>
                <a:pt x="5363741" y="1873398"/>
              </a:lnTo>
              <a:lnTo>
                <a:pt x="5390849" y="1845519"/>
              </a:lnTo>
              <a:lnTo>
                <a:pt x="5422902" y="1817111"/>
              </a:lnTo>
              <a:lnTo>
                <a:pt x="5464771" y="1780990"/>
              </a:lnTo>
              <a:lnTo>
                <a:pt x="5480679" y="1767294"/>
              </a:lnTo>
              <a:lnTo>
                <a:pt x="5497643" y="1752715"/>
              </a:lnTo>
              <a:lnTo>
                <a:pt x="5515231" y="1737625"/>
              </a:lnTo>
              <a:lnTo>
                <a:pt x="5533015" y="1722396"/>
              </a:lnTo>
              <a:lnTo>
                <a:pt x="5551051" y="1706942"/>
              </a:lnTo>
              <a:lnTo>
                <a:pt x="5588139" y="1675246"/>
              </a:lnTo>
              <a:lnTo>
                <a:pt x="5625254" y="1644116"/>
              </a:lnTo>
              <a:lnTo>
                <a:pt x="5662396" y="1613553"/>
              </a:lnTo>
              <a:lnTo>
                <a:pt x="5680246" y="1598882"/>
              </a:lnTo>
              <a:lnTo>
                <a:pt x="5697571" y="1584657"/>
              </a:lnTo>
              <a:lnTo>
                <a:pt x="5714506" y="1570797"/>
              </a:lnTo>
              <a:lnTo>
                <a:pt x="5730780" y="1557428"/>
              </a:lnTo>
              <a:lnTo>
                <a:pt x="5746126" y="1544678"/>
              </a:lnTo>
              <a:lnTo>
                <a:pt x="5760513" y="1532498"/>
              </a:lnTo>
              <a:lnTo>
                <a:pt x="5774070" y="1520847"/>
              </a:lnTo>
              <a:lnTo>
                <a:pt x="5786770" y="1509867"/>
              </a:lnTo>
              <a:lnTo>
                <a:pt x="5798584" y="1499702"/>
              </a:lnTo>
              <a:lnTo>
                <a:pt x="5809499" y="1490234"/>
              </a:lnTo>
              <a:lnTo>
                <a:pt x="5819530" y="1481441"/>
              </a:lnTo>
              <a:lnTo>
                <a:pt x="5828701" y="1473599"/>
              </a:lnTo>
              <a:lnTo>
                <a:pt x="5861941" y="1452440"/>
              </a:lnTo>
              <a:lnTo>
                <a:pt x="5867869" y="1450868"/>
              </a:lnTo>
              <a:lnTo>
                <a:pt x="5871348" y="1452736"/>
              </a:lnTo>
              <a:lnTo>
                <a:pt x="5872602" y="1457555"/>
              </a:lnTo>
              <a:lnTo>
                <a:pt x="5873857" y="1462373"/>
              </a:lnTo>
              <a:lnTo>
                <a:pt x="5859521" y="1507193"/>
              </a:lnTo>
              <a:lnTo>
                <a:pt x="5839303" y="1548924"/>
              </a:lnTo>
              <a:lnTo>
                <a:pt x="5817157" y="1584766"/>
              </a:lnTo>
              <a:lnTo>
                <a:pt x="5788400" y="1623212"/>
              </a:lnTo>
              <a:lnTo>
                <a:pt x="5753443" y="1662820"/>
              </a:lnTo>
              <a:lnTo>
                <a:pt x="5714078" y="1701795"/>
              </a:lnTo>
              <a:lnTo>
                <a:pt x="5672654" y="1738593"/>
              </a:lnTo>
              <a:lnTo>
                <a:pt x="5630425" y="1772104"/>
              </a:lnTo>
              <a:lnTo>
                <a:pt x="5588483" y="1801525"/>
              </a:lnTo>
              <a:lnTo>
                <a:pt x="5548148" y="1827112"/>
              </a:lnTo>
              <a:lnTo>
                <a:pt x="5511546" y="1847617"/>
              </a:lnTo>
              <a:lnTo>
                <a:pt x="5470577" y="1867045"/>
              </a:lnTo>
              <a:lnTo>
                <a:pt x="5433019" y="1880800"/>
              </a:lnTo>
              <a:lnTo>
                <a:pt x="5414961" y="1883232"/>
              </a:lnTo>
              <a:lnTo>
                <a:pt x="5409895" y="1880646"/>
              </a:lnTo>
              <a:lnTo>
                <a:pt x="5386804" y="1846934"/>
              </a:lnTo>
              <a:lnTo>
                <a:pt x="5372525" y="1808861"/>
              </a:lnTo>
              <a:lnTo>
                <a:pt x="5360068" y="1772280"/>
              </a:lnTo>
              <a:lnTo>
                <a:pt x="5355548" y="1758806"/>
              </a:lnTo>
              <a:lnTo>
                <a:pt x="5350941" y="1745136"/>
              </a:lnTo>
              <a:lnTo>
                <a:pt x="5346272" y="1731186"/>
              </a:lnTo>
              <a:lnTo>
                <a:pt x="5341507" y="1716853"/>
              </a:lnTo>
              <a:lnTo>
                <a:pt x="5336613" y="1702400"/>
              </a:lnTo>
              <a:lnTo>
                <a:pt x="5331556" y="1688086"/>
              </a:lnTo>
              <a:lnTo>
                <a:pt x="5326254" y="1673895"/>
              </a:lnTo>
              <a:lnTo>
                <a:pt x="5320749" y="1659715"/>
              </a:lnTo>
              <a:lnTo>
                <a:pt x="5315195" y="1645672"/>
              </a:lnTo>
              <a:lnTo>
                <a:pt x="5309748" y="1631888"/>
              </a:lnTo>
              <a:lnTo>
                <a:pt x="5293859" y="1591643"/>
              </a:lnTo>
              <a:lnTo>
                <a:pt x="5279316" y="1556170"/>
              </a:lnTo>
              <a:lnTo>
                <a:pt x="5261236" y="1517721"/>
              </a:lnTo>
              <a:lnTo>
                <a:pt x="5242082" y="1483429"/>
              </a:lnTo>
              <a:lnTo>
                <a:pt x="5227425" y="1462866"/>
              </a:lnTo>
              <a:lnTo>
                <a:pt x="5223337" y="1458901"/>
              </a:lnTo>
              <a:lnTo>
                <a:pt x="5219812" y="1455629"/>
              </a:lnTo>
              <a:lnTo>
                <a:pt x="5214328" y="1454453"/>
              </a:lnTo>
              <a:lnTo>
                <a:pt x="5208844" y="1453277"/>
              </a:lnTo>
              <a:lnTo>
                <a:pt x="5163381" y="1466684"/>
              </a:lnTo>
              <a:lnTo>
                <a:pt x="5120523" y="1486945"/>
              </a:lnTo>
              <a:lnTo>
                <a:pt x="5079864" y="1507251"/>
              </a:lnTo>
              <a:lnTo>
                <a:pt x="5064504" y="1514937"/>
              </a:lnTo>
              <a:lnTo>
                <a:pt x="5048134" y="1523172"/>
              </a:lnTo>
              <a:lnTo>
                <a:pt x="5030808" y="1531931"/>
              </a:lnTo>
              <a:lnTo>
                <a:pt x="5012603" y="1540993"/>
              </a:lnTo>
              <a:lnTo>
                <a:pt x="4973621" y="1559389"/>
              </a:lnTo>
              <a:lnTo>
                <a:pt x="4931187" y="1578359"/>
              </a:lnTo>
              <a:lnTo>
                <a:pt x="4887431" y="1597218"/>
              </a:lnTo>
              <a:lnTo>
                <a:pt x="4842352" y="1615968"/>
              </a:lnTo>
              <a:lnTo>
                <a:pt x="4820078" y="1625188"/>
              </a:lnTo>
              <a:lnTo>
                <a:pt x="4775916" y="1643484"/>
              </a:lnTo>
              <a:lnTo>
                <a:pt x="4733517" y="1660915"/>
              </a:lnTo>
              <a:lnTo>
                <a:pt x="4694116" y="1676959"/>
              </a:lnTo>
              <a:lnTo>
                <a:pt x="4658226" y="1691366"/>
              </a:lnTo>
              <a:lnTo>
                <a:pt x="4612456" y="1709071"/>
              </a:lnTo>
              <a:lnTo>
                <a:pt x="4599749" y="1714002"/>
              </a:lnTo>
              <a:lnTo>
                <a:pt x="4588305" y="1718569"/>
              </a:lnTo>
              <a:lnTo>
                <a:pt x="4578079" y="1722732"/>
              </a:lnTo>
              <a:lnTo>
                <a:pt x="4569466" y="1726250"/>
              </a:lnTo>
              <a:lnTo>
                <a:pt x="4562862" y="1728882"/>
              </a:lnTo>
              <a:lnTo>
                <a:pt x="4555571" y="1731695"/>
              </a:lnTo>
              <a:lnTo>
                <a:pt x="4552353" y="1732961"/>
              </a:lnTo>
              <a:lnTo>
                <a:pt x="4556006" y="1730875"/>
              </a:lnTo>
              <a:lnTo>
                <a:pt x="4597050" y="1710836"/>
              </a:lnTo>
              <a:lnTo>
                <a:pt x="4645932" y="1689589"/>
              </a:lnTo>
              <a:lnTo>
                <a:pt x="4666272" y="1680795"/>
              </a:lnTo>
              <a:lnTo>
                <a:pt x="4712901" y="1660784"/>
              </a:lnTo>
              <a:lnTo>
                <a:pt x="4766574" y="1638417"/>
              </a:lnTo>
              <a:lnTo>
                <a:pt x="4827292" y="1613696"/>
              </a:lnTo>
              <a:lnTo>
                <a:pt x="4892564" y="1587468"/>
              </a:lnTo>
              <a:lnTo>
                <a:pt x="4927177" y="1573749"/>
              </a:lnTo>
              <a:lnTo>
                <a:pt x="4962389" y="1559734"/>
              </a:lnTo>
              <a:lnTo>
                <a:pt x="5032570" y="1531061"/>
              </a:lnTo>
              <a:lnTo>
                <a:pt x="5068021" y="1516254"/>
              </a:lnTo>
              <a:lnTo>
                <a:pt x="5137132" y="1486961"/>
              </a:lnTo>
              <a:lnTo>
                <a:pt x="5202733" y="1458668"/>
              </a:lnTo>
              <a:lnTo>
                <a:pt x="5263568" y="1431783"/>
              </a:lnTo>
              <a:lnTo>
                <a:pt x="5317657" y="1406980"/>
              </a:lnTo>
              <a:lnTo>
                <a:pt x="5365126" y="1384451"/>
              </a:lnTo>
              <a:lnTo>
                <a:pt x="5405277" y="1364495"/>
              </a:lnTo>
              <a:lnTo>
                <a:pt x="5422757" y="1355552"/>
              </a:lnTo>
              <a:lnTo>
                <a:pt x="5438602" y="1347468"/>
              </a:lnTo>
              <a:lnTo>
                <a:pt x="5452777" y="1340097"/>
              </a:lnTo>
              <a:lnTo>
                <a:pt x="5465263" y="1333430"/>
              </a:lnTo>
              <a:lnTo>
                <a:pt x="5476153" y="1327807"/>
              </a:lnTo>
              <a:lnTo>
                <a:pt x="5485545" y="1323568"/>
              </a:lnTo>
              <a:lnTo>
                <a:pt x="5497112" y="1318989"/>
              </a:lnTo>
              <a:lnTo>
                <a:pt x="5503733" y="1318308"/>
              </a:lnTo>
              <a:lnTo>
                <a:pt x="5508001" y="1319992"/>
              </a:lnTo>
              <a:lnTo>
                <a:pt x="5512269" y="1321675"/>
              </a:lnTo>
              <a:lnTo>
                <a:pt x="5497635" y="1364981"/>
              </a:lnTo>
              <a:lnTo>
                <a:pt x="5478186" y="1400759"/>
              </a:lnTo>
              <a:lnTo>
                <a:pt x="5450742" y="1443678"/>
              </a:lnTo>
              <a:lnTo>
                <a:pt x="5428601" y="1475748"/>
              </a:lnTo>
              <a:lnTo>
                <a:pt x="5404204" y="1510706"/>
              </a:lnTo>
              <a:lnTo>
                <a:pt x="5377680" y="1547261"/>
              </a:lnTo>
              <a:lnTo>
                <a:pt x="5349275" y="1584065"/>
              </a:lnTo>
              <a:lnTo>
                <a:pt x="5319294" y="1621406"/>
              </a:lnTo>
              <a:lnTo>
                <a:pt x="5287840" y="1659457"/>
              </a:lnTo>
              <a:lnTo>
                <a:pt x="5255758" y="1697223"/>
              </a:lnTo>
              <a:lnTo>
                <a:pt x="5223770" y="1733884"/>
              </a:lnTo>
              <a:lnTo>
                <a:pt x="5192342" y="1769088"/>
              </a:lnTo>
              <a:lnTo>
                <a:pt x="5161879" y="1802365"/>
              </a:lnTo>
              <a:lnTo>
                <a:pt x="5147202" y="1818192"/>
              </a:lnTo>
              <a:lnTo>
                <a:pt x="5133285" y="1833239"/>
              </a:lnTo>
              <a:lnTo>
                <a:pt x="5120146" y="1847551"/>
              </a:lnTo>
              <a:lnTo>
                <a:pt x="5107648" y="1861193"/>
              </a:lnTo>
              <a:lnTo>
                <a:pt x="5095855" y="1874015"/>
              </a:lnTo>
              <a:lnTo>
                <a:pt x="5084826" y="1885868"/>
              </a:lnTo>
              <a:lnTo>
                <a:pt x="5074415" y="1896820"/>
              </a:lnTo>
              <a:lnTo>
                <a:pt x="5064644" y="1906914"/>
              </a:lnTo>
              <a:lnTo>
                <a:pt x="5055828" y="1915965"/>
              </a:lnTo>
              <a:lnTo>
                <a:pt x="5048283" y="1923789"/>
              </a:lnTo>
              <a:lnTo>
                <a:pt x="5041981" y="1930478"/>
              </a:lnTo>
              <a:lnTo>
                <a:pt x="5036792" y="1936082"/>
              </a:lnTo>
              <a:lnTo>
                <a:pt x="5032875" y="1940355"/>
              </a:lnTo>
              <a:lnTo>
                <a:pt x="5030394" y="1943049"/>
              </a:lnTo>
              <a:lnTo>
                <a:pt x="5028113" y="1945478"/>
              </a:lnTo>
              <a:lnTo>
                <a:pt x="5029583" y="1944219"/>
              </a:lnTo>
              <a:lnTo>
                <a:pt x="5034597" y="1938365"/>
              </a:lnTo>
              <a:lnTo>
                <a:pt x="5039088" y="1933050"/>
              </a:lnTo>
              <a:lnTo>
                <a:pt x="5044970" y="1926045"/>
              </a:lnTo>
              <a:lnTo>
                <a:pt x="5052135" y="1917590"/>
              </a:lnTo>
              <a:lnTo>
                <a:pt x="5080871" y="1884676"/>
              </a:lnTo>
              <a:lnTo>
                <a:pt x="5119815" y="1841352"/>
              </a:lnTo>
              <a:lnTo>
                <a:pt x="5151028" y="1807378"/>
              </a:lnTo>
              <a:lnTo>
                <a:pt x="5185015" y="1771036"/>
              </a:lnTo>
              <a:lnTo>
                <a:pt x="5203210" y="1751905"/>
              </a:lnTo>
              <a:lnTo>
                <a:pt x="5221776" y="1732327"/>
              </a:lnTo>
              <a:lnTo>
                <a:pt x="5258749" y="1692408"/>
              </a:lnTo>
              <a:lnTo>
                <a:pt x="5295934" y="1651279"/>
              </a:lnTo>
              <a:lnTo>
                <a:pt x="5331686" y="1610573"/>
              </a:lnTo>
              <a:lnTo>
                <a:pt x="5366004" y="1570291"/>
              </a:lnTo>
              <a:lnTo>
                <a:pt x="5382274" y="1551051"/>
              </a:lnTo>
              <a:lnTo>
                <a:pt x="5397980" y="1532504"/>
              </a:lnTo>
              <a:lnTo>
                <a:pt x="5427613" y="1497215"/>
              </a:lnTo>
              <a:lnTo>
                <a:pt x="5453442" y="1465401"/>
              </a:lnTo>
              <a:lnTo>
                <a:pt x="5485087" y="1424127"/>
              </a:lnTo>
              <a:lnTo>
                <a:pt x="5508537" y="1389827"/>
              </a:lnTo>
              <a:lnTo>
                <a:pt x="5526207" y="1355856"/>
              </a:lnTo>
              <a:lnTo>
                <a:pt x="5527058" y="1350969"/>
              </a:lnTo>
              <a:lnTo>
                <a:pt x="5524918" y="1349626"/>
              </a:lnTo>
              <a:lnTo>
                <a:pt x="5483176" y="1371580"/>
              </a:lnTo>
              <a:lnTo>
                <a:pt x="5446721" y="1395024"/>
              </a:lnTo>
              <a:lnTo>
                <a:pt x="5417836" y="1414678"/>
              </a:lnTo>
              <a:lnTo>
                <a:pt x="5402024" y="1425536"/>
              </a:lnTo>
              <a:lnTo>
                <a:pt x="5385407" y="1436760"/>
              </a:lnTo>
              <a:lnTo>
                <a:pt x="5367927" y="1448323"/>
              </a:lnTo>
              <a:lnTo>
                <a:pt x="5349565" y="1460341"/>
              </a:lnTo>
              <a:lnTo>
                <a:pt x="5330470" y="1472789"/>
              </a:lnTo>
              <a:lnTo>
                <a:pt x="5310788" y="1485641"/>
              </a:lnTo>
              <a:lnTo>
                <a:pt x="5290466" y="1499001"/>
              </a:lnTo>
              <a:lnTo>
                <a:pt x="5269456" y="1512847"/>
              </a:lnTo>
              <a:lnTo>
                <a:pt x="5247914" y="1526960"/>
              </a:lnTo>
              <a:lnTo>
                <a:pt x="5225993" y="1541124"/>
              </a:lnTo>
              <a:lnTo>
                <a:pt x="5203501" y="1555365"/>
              </a:lnTo>
              <a:lnTo>
                <a:pt x="5180434" y="1569771"/>
              </a:lnTo>
              <a:lnTo>
                <a:pt x="5157227" y="1584216"/>
              </a:lnTo>
              <a:lnTo>
                <a:pt x="5134317" y="1598578"/>
              </a:lnTo>
              <a:lnTo>
                <a:pt x="5111639" y="1612939"/>
              </a:lnTo>
              <a:lnTo>
                <a:pt x="5089020" y="1627327"/>
              </a:lnTo>
              <a:lnTo>
                <a:pt x="5066736" y="1641533"/>
              </a:lnTo>
              <a:lnTo>
                <a:pt x="5045061" y="1655350"/>
              </a:lnTo>
              <a:lnTo>
                <a:pt x="5023891" y="1668810"/>
              </a:lnTo>
              <a:lnTo>
                <a:pt x="5003139" y="1681996"/>
              </a:lnTo>
              <a:lnTo>
                <a:pt x="4983104" y="1694769"/>
              </a:lnTo>
              <a:lnTo>
                <a:pt x="4964085" y="1706988"/>
              </a:lnTo>
              <a:lnTo>
                <a:pt x="4946077" y="1718710"/>
              </a:lnTo>
              <a:lnTo>
                <a:pt x="4928950" y="1729978"/>
              </a:lnTo>
              <a:lnTo>
                <a:pt x="4912812" y="1740635"/>
              </a:lnTo>
              <a:lnTo>
                <a:pt x="4897772" y="1750524"/>
              </a:lnTo>
              <a:lnTo>
                <a:pt x="4883812" y="1759725"/>
              </a:lnTo>
              <a:lnTo>
                <a:pt x="4870890" y="1768282"/>
              </a:lnTo>
              <a:lnTo>
                <a:pt x="4859077" y="1775981"/>
              </a:lnTo>
              <a:lnTo>
                <a:pt x="4823528" y="1796223"/>
              </a:lnTo>
              <a:lnTo>
                <a:pt x="4810564" y="1801122"/>
              </a:lnTo>
              <a:lnTo>
                <a:pt x="4807216" y="1800877"/>
              </a:lnTo>
              <a:lnTo>
                <a:pt x="4806138" y="1797460"/>
              </a:lnTo>
              <a:lnTo>
                <a:pt x="4805061" y="1794042"/>
              </a:lnTo>
              <a:lnTo>
                <a:pt x="4824275" y="1754340"/>
              </a:lnTo>
              <a:lnTo>
                <a:pt x="4851044" y="1712462"/>
              </a:lnTo>
              <a:lnTo>
                <a:pt x="4877037" y="1676007"/>
              </a:lnTo>
              <a:lnTo>
                <a:pt x="4906647" y="1637579"/>
              </a:lnTo>
              <a:lnTo>
                <a:pt x="4938125" y="1599127"/>
              </a:lnTo>
              <a:lnTo>
                <a:pt x="4968529" y="1562537"/>
              </a:lnTo>
              <a:lnTo>
                <a:pt x="4996024" y="1529970"/>
              </a:lnTo>
              <a:lnTo>
                <a:pt x="5025436" y="1496712"/>
              </a:lnTo>
              <a:lnTo>
                <a:pt x="5031043" y="1490721"/>
              </a:lnTo>
              <a:lnTo>
                <a:pt x="5035460" y="1485906"/>
              </a:lnTo>
              <a:lnTo>
                <a:pt x="5040414" y="1480351"/>
              </a:lnTo>
              <a:lnTo>
                <a:pt x="5043381" y="1477697"/>
              </a:lnTo>
              <a:lnTo>
                <a:pt x="5041674" y="1478181"/>
              </a:lnTo>
              <a:lnTo>
                <a:pt x="5008759" y="1500752"/>
              </a:lnTo>
              <a:lnTo>
                <a:pt x="4998576" y="1508244"/>
              </a:lnTo>
              <a:lnTo>
                <a:pt x="4987253" y="1516527"/>
              </a:lnTo>
              <a:lnTo>
                <a:pt x="4974744" y="1525670"/>
              </a:lnTo>
              <a:lnTo>
                <a:pt x="4961009" y="1535724"/>
              </a:lnTo>
              <a:lnTo>
                <a:pt x="4946184" y="1546497"/>
              </a:lnTo>
              <a:lnTo>
                <a:pt x="4913560" y="1569722"/>
              </a:lnTo>
              <a:lnTo>
                <a:pt x="4876871" y="1595346"/>
              </a:lnTo>
              <a:lnTo>
                <a:pt x="4837660" y="1621939"/>
              </a:lnTo>
              <a:lnTo>
                <a:pt x="4795926" y="1649503"/>
              </a:lnTo>
              <a:lnTo>
                <a:pt x="4752718" y="1677715"/>
              </a:lnTo>
              <a:lnTo>
                <a:pt x="4730424" y="1692113"/>
              </a:lnTo>
              <a:lnTo>
                <a:pt x="4708035" y="1706575"/>
              </a:lnTo>
              <a:lnTo>
                <a:pt x="4685933" y="1720966"/>
              </a:lnTo>
              <a:lnTo>
                <a:pt x="4663982" y="1735446"/>
              </a:lnTo>
              <a:lnTo>
                <a:pt x="4642057" y="1750022"/>
              </a:lnTo>
              <a:lnTo>
                <a:pt x="4620558" y="1764326"/>
              </a:lnTo>
              <a:lnTo>
                <a:pt x="4599881" y="1777989"/>
              </a:lnTo>
              <a:lnTo>
                <a:pt x="4580038" y="1790972"/>
              </a:lnTo>
              <a:lnTo>
                <a:pt x="4560848" y="1803450"/>
              </a:lnTo>
              <a:lnTo>
                <a:pt x="4542422" y="1815383"/>
              </a:lnTo>
              <a:lnTo>
                <a:pt x="4524872" y="1826727"/>
              </a:lnTo>
              <a:lnTo>
                <a:pt x="4508089" y="1837601"/>
              </a:lnTo>
              <a:lnTo>
                <a:pt x="4463273" y="1866276"/>
              </a:lnTo>
              <a:lnTo>
                <a:pt x="4428990" y="1886513"/>
              </a:lnTo>
              <a:lnTo>
                <a:pt x="4404531" y="1899963"/>
              </a:lnTo>
              <a:lnTo>
                <a:pt x="4402450" y="1899871"/>
              </a:lnTo>
              <a:lnTo>
                <a:pt x="4400369" y="1899780"/>
              </a:lnTo>
              <a:lnTo>
                <a:pt x="4423817" y="1874720"/>
              </a:lnTo>
              <a:lnTo>
                <a:pt x="4430842" y="1867763"/>
              </a:lnTo>
              <a:lnTo>
                <a:pt x="4466577" y="1832088"/>
              </a:lnTo>
              <a:lnTo>
                <a:pt x="4487375" y="1811553"/>
              </a:lnTo>
              <a:lnTo>
                <a:pt x="4498280" y="1800710"/>
              </a:lnTo>
              <a:lnTo>
                <a:pt x="4531239" y="1766384"/>
              </a:lnTo>
              <a:lnTo>
                <a:pt x="4562965" y="1731530"/>
              </a:lnTo>
              <a:lnTo>
                <a:pt x="4591147" y="1698762"/>
              </a:lnTo>
              <a:lnTo>
                <a:pt x="4620347" y="1661778"/>
              </a:lnTo>
              <a:lnTo>
                <a:pt x="4634854" y="1639814"/>
              </a:lnTo>
              <a:lnTo>
                <a:pt x="4632530" y="1640630"/>
              </a:lnTo>
              <a:lnTo>
                <a:pt x="4601695" y="1670238"/>
              </a:lnTo>
              <a:lnTo>
                <a:pt x="4577935" y="1694970"/>
              </a:lnTo>
              <a:lnTo>
                <a:pt x="4568912" y="1704315"/>
              </a:lnTo>
              <a:lnTo>
                <a:pt x="4539323" y="1735366"/>
              </a:lnTo>
              <a:lnTo>
                <a:pt x="4508455" y="1769552"/>
              </a:lnTo>
              <a:lnTo>
                <a:pt x="4478555" y="1806018"/>
              </a:lnTo>
              <a:lnTo>
                <a:pt x="4451167" y="1842357"/>
              </a:lnTo>
              <a:lnTo>
                <a:pt x="4427598" y="1876145"/>
              </a:lnTo>
              <a:lnTo>
                <a:pt x="4403904" y="1915436"/>
              </a:lnTo>
              <a:lnTo>
                <a:pt x="4392362" y="1952800"/>
              </a:lnTo>
              <a:lnTo>
                <a:pt x="4393011" y="1959401"/>
              </a:lnTo>
              <a:lnTo>
                <a:pt x="4397736" y="1962825"/>
              </a:lnTo>
              <a:lnTo>
                <a:pt x="4402462" y="1966250"/>
              </a:lnTo>
              <a:lnTo>
                <a:pt x="4410890" y="1967275"/>
              </a:lnTo>
              <a:lnTo>
                <a:pt x="4421740" y="1965451"/>
              </a:lnTo>
              <a:lnTo>
                <a:pt x="4462838" y="1951880"/>
              </a:lnTo>
              <a:lnTo>
                <a:pt x="4501407" y="1933365"/>
              </a:lnTo>
              <a:lnTo>
                <a:pt x="4544258" y="1909821"/>
              </a:lnTo>
              <a:lnTo>
                <a:pt x="4588887" y="1882611"/>
              </a:lnTo>
              <a:lnTo>
                <a:pt x="4632622" y="1853110"/>
              </a:lnTo>
              <a:lnTo>
                <a:pt x="4672302" y="1823151"/>
              </a:lnTo>
              <a:lnTo>
                <a:pt x="4706302" y="1795503"/>
              </a:lnTo>
              <a:lnTo>
                <a:pt x="4741289" y="1763985"/>
              </a:lnTo>
              <a:lnTo>
                <a:pt x="4768543" y="1733943"/>
              </a:lnTo>
              <a:lnTo>
                <a:pt x="4776244" y="1723142"/>
              </a:lnTo>
              <a:lnTo>
                <a:pt x="4780311" y="1717871"/>
              </a:lnTo>
              <a:lnTo>
                <a:pt x="4779624" y="1714513"/>
              </a:lnTo>
              <a:lnTo>
                <a:pt x="4778937" y="1711154"/>
              </a:lnTo>
              <a:lnTo>
                <a:pt x="4776324" y="1708858"/>
              </a:lnTo>
              <a:lnTo>
                <a:pt x="4767893" y="1709032"/>
              </a:lnTo>
              <a:lnTo>
                <a:pt x="4729036" y="1715560"/>
              </a:lnTo>
              <a:lnTo>
                <a:pt x="4678802" y="1728762"/>
              </a:lnTo>
              <a:lnTo>
                <a:pt x="4632926" y="1742625"/>
              </a:lnTo>
              <a:lnTo>
                <a:pt x="4576718" y="1760738"/>
              </a:lnTo>
              <a:lnTo>
                <a:pt x="4545636" y="1770743"/>
              </a:lnTo>
              <a:lnTo>
                <a:pt x="4512461" y="1781348"/>
              </a:lnTo>
              <a:lnTo>
                <a:pt x="4477102" y="1792659"/>
              </a:lnTo>
              <a:lnTo>
                <a:pt x="4440155" y="1804454"/>
              </a:lnTo>
              <a:lnTo>
                <a:pt x="4402215" y="1816510"/>
              </a:lnTo>
              <a:lnTo>
                <a:pt x="4363424" y="1828831"/>
              </a:lnTo>
              <a:lnTo>
                <a:pt x="4323469" y="1841513"/>
              </a:lnTo>
              <a:lnTo>
                <a:pt x="4282268" y="1854479"/>
              </a:lnTo>
              <a:lnTo>
                <a:pt x="4239739" y="1867651"/>
              </a:lnTo>
              <a:lnTo>
                <a:pt x="4195655" y="1881165"/>
              </a:lnTo>
              <a:lnTo>
                <a:pt x="4150128" y="1895010"/>
              </a:lnTo>
              <a:lnTo>
                <a:pt x="4103586" y="1908889"/>
              </a:lnTo>
              <a:lnTo>
                <a:pt x="4056457" y="1922506"/>
              </a:lnTo>
              <a:lnTo>
                <a:pt x="4008585" y="1935914"/>
              </a:lnTo>
              <a:lnTo>
                <a:pt x="3959831" y="1949227"/>
              </a:lnTo>
              <a:lnTo>
                <a:pt x="3910654" y="1962241"/>
              </a:lnTo>
              <a:lnTo>
                <a:pt x="3861514" y="1974753"/>
              </a:lnTo>
              <a:lnTo>
                <a:pt x="3812137" y="1986752"/>
              </a:lnTo>
              <a:lnTo>
                <a:pt x="3762409" y="1998332"/>
              </a:lnTo>
              <a:lnTo>
                <a:pt x="3713032" y="2009448"/>
              </a:lnTo>
              <a:lnTo>
                <a:pt x="3664706" y="2020053"/>
              </a:lnTo>
              <a:lnTo>
                <a:pt x="3617234" y="2030156"/>
              </a:lnTo>
              <a:lnTo>
                <a:pt x="3570371" y="2039775"/>
              </a:lnTo>
              <a:lnTo>
                <a:pt x="3524742" y="2048875"/>
              </a:lnTo>
              <a:lnTo>
                <a:pt x="3480974" y="2057419"/>
              </a:lnTo>
              <a:lnTo>
                <a:pt x="3438890" y="2065413"/>
              </a:lnTo>
              <a:lnTo>
                <a:pt x="3398273" y="2072872"/>
              </a:lnTo>
              <a:lnTo>
                <a:pt x="3359679" y="2079771"/>
              </a:lnTo>
              <a:lnTo>
                <a:pt x="3290192" y="2091894"/>
              </a:lnTo>
              <a:lnTo>
                <a:pt x="3230429" y="2101783"/>
              </a:lnTo>
              <a:lnTo>
                <a:pt x="3181823" y="2108461"/>
              </a:lnTo>
              <a:lnTo>
                <a:pt x="3129980" y="2112196"/>
              </a:lnTo>
              <a:lnTo>
                <a:pt x="3118563" y="2111431"/>
              </a:lnTo>
              <a:lnTo>
                <a:pt x="3110064" y="2109695"/>
              </a:lnTo>
              <a:lnTo>
                <a:pt x="3104387" y="2106971"/>
              </a:lnTo>
              <a:lnTo>
                <a:pt x="3101438" y="2103241"/>
              </a:lnTo>
              <a:lnTo>
                <a:pt x="3101286" y="2098404"/>
              </a:lnTo>
              <a:lnTo>
                <a:pt x="3103951" y="2092501"/>
              </a:lnTo>
              <a:lnTo>
                <a:pt x="3140474" y="2061395"/>
              </a:lnTo>
              <a:lnTo>
                <a:pt x="3173140" y="2041452"/>
              </a:lnTo>
              <a:lnTo>
                <a:pt x="3213987" y="2017990"/>
              </a:lnTo>
              <a:lnTo>
                <a:pt x="3262638" y="1991996"/>
              </a:lnTo>
              <a:lnTo>
                <a:pt x="3318924" y="1964170"/>
              </a:lnTo>
              <a:lnTo>
                <a:pt x="3381175" y="1934912"/>
              </a:lnTo>
              <a:lnTo>
                <a:pt x="3448477" y="1904774"/>
              </a:lnTo>
              <a:lnTo>
                <a:pt x="3483493" y="1889406"/>
              </a:lnTo>
              <a:lnTo>
                <a:pt x="3518391" y="1873998"/>
              </a:lnTo>
              <a:lnTo>
                <a:pt x="3553321" y="1858458"/>
              </a:lnTo>
              <a:lnTo>
                <a:pt x="3588574" y="1842765"/>
              </a:lnTo>
              <a:lnTo>
                <a:pt x="3623595" y="1827139"/>
              </a:lnTo>
              <a:lnTo>
                <a:pt x="3657830" y="1811804"/>
              </a:lnTo>
              <a:lnTo>
                <a:pt x="3691438" y="1796753"/>
              </a:lnTo>
              <a:lnTo>
                <a:pt x="3756848" y="1767298"/>
              </a:lnTo>
              <a:lnTo>
                <a:pt x="3817027" y="1739080"/>
              </a:lnTo>
              <a:lnTo>
                <a:pt x="3871975" y="1712098"/>
              </a:lnTo>
              <a:lnTo>
                <a:pt x="3920410" y="1687773"/>
              </a:lnTo>
              <a:lnTo>
                <a:pt x="3962330" y="1666108"/>
              </a:lnTo>
              <a:lnTo>
                <a:pt x="3997874" y="1646688"/>
              </a:lnTo>
              <a:lnTo>
                <a:pt x="4039350" y="1621907"/>
              </a:lnTo>
              <a:lnTo>
                <a:pt x="4073529" y="1598090"/>
              </a:lnTo>
              <a:lnTo>
                <a:pt x="4082251" y="1589090"/>
              </a:lnTo>
              <a:lnTo>
                <a:pt x="4080041" y="1588388"/>
              </a:lnTo>
              <a:lnTo>
                <a:pt x="4077831" y="1587685"/>
              </a:lnTo>
              <a:lnTo>
                <a:pt x="4040248" y="1601747"/>
              </a:lnTo>
              <a:lnTo>
                <a:pt x="3999894" y="1618665"/>
              </a:lnTo>
              <a:lnTo>
                <a:pt x="3948939" y="1641011"/>
              </a:lnTo>
              <a:lnTo>
                <a:pt x="3909560" y="1659831"/>
              </a:lnTo>
              <a:lnTo>
                <a:pt x="3866790" y="1680958"/>
              </a:lnTo>
              <a:lnTo>
                <a:pt x="3821565" y="1703678"/>
              </a:lnTo>
              <a:lnTo>
                <a:pt x="3774106" y="1727931"/>
              </a:lnTo>
              <a:lnTo>
                <a:pt x="3724632" y="1753701"/>
              </a:lnTo>
              <a:lnTo>
                <a:pt x="3699349" y="1766960"/>
              </a:lnTo>
              <a:lnTo>
                <a:pt x="3674083" y="1780154"/>
              </a:lnTo>
              <a:lnTo>
                <a:pt x="3648805" y="1793267"/>
              </a:lnTo>
              <a:lnTo>
                <a:pt x="3623398" y="1806408"/>
              </a:lnTo>
              <a:lnTo>
                <a:pt x="3598014" y="1819535"/>
              </a:lnTo>
              <a:lnTo>
                <a:pt x="3572806" y="1832603"/>
              </a:lnTo>
              <a:lnTo>
                <a:pt x="3547694" y="1845690"/>
              </a:lnTo>
              <a:lnTo>
                <a:pt x="3522636" y="1858788"/>
              </a:lnTo>
              <a:lnTo>
                <a:pt x="3497845" y="1871731"/>
              </a:lnTo>
              <a:lnTo>
                <a:pt x="3449556" y="1896717"/>
              </a:lnTo>
              <a:lnTo>
                <a:pt x="3402827" y="1920648"/>
              </a:lnTo>
              <a:lnTo>
                <a:pt x="3359787" y="1942384"/>
              </a:lnTo>
              <a:lnTo>
                <a:pt x="3320435" y="1961925"/>
              </a:lnTo>
              <a:lnTo>
                <a:pt x="3284981" y="1978670"/>
              </a:lnTo>
              <a:lnTo>
                <a:pt x="3239229" y="1998637"/>
              </a:lnTo>
              <a:lnTo>
                <a:pt x="3203103" y="2012879"/>
              </a:lnTo>
              <a:lnTo>
                <a:pt x="3163279" y="2024411"/>
              </a:lnTo>
              <a:lnTo>
                <a:pt x="3155805" y="2024424"/>
              </a:lnTo>
              <a:lnTo>
                <a:pt x="3150805" y="2022114"/>
              </a:lnTo>
              <a:lnTo>
                <a:pt x="3148275" y="2016473"/>
              </a:lnTo>
              <a:lnTo>
                <a:pt x="3146824" y="2011671"/>
              </a:lnTo>
              <a:lnTo>
                <a:pt x="3146289" y="2005740"/>
              </a:lnTo>
              <a:lnTo>
                <a:pt x="3146703" y="1998699"/>
              </a:lnTo>
              <a:lnTo>
                <a:pt x="3158105" y="1959517"/>
              </a:lnTo>
              <a:lnTo>
                <a:pt x="3177394" y="1919193"/>
              </a:lnTo>
              <a:lnTo>
                <a:pt x="3205901" y="1870820"/>
              </a:lnTo>
              <a:lnTo>
                <a:pt x="3229959" y="1834701"/>
              </a:lnTo>
              <a:lnTo>
                <a:pt x="3256755" y="1796369"/>
              </a:lnTo>
              <a:lnTo>
                <a:pt x="3286286" y="1755825"/>
              </a:lnTo>
              <a:lnTo>
                <a:pt x="3318108" y="1714784"/>
              </a:lnTo>
              <a:lnTo>
                <a:pt x="3352219" y="1673249"/>
              </a:lnTo>
              <a:lnTo>
                <a:pt x="3386121" y="1633047"/>
              </a:lnTo>
              <a:lnTo>
                <a:pt x="3419813" y="1594179"/>
              </a:lnTo>
              <a:lnTo>
                <a:pt x="3435867" y="1575451"/>
              </a:lnTo>
              <a:lnTo>
                <a:pt x="3466184" y="1539329"/>
              </a:lnTo>
              <a:lnTo>
                <a:pt x="3494086" y="1505499"/>
              </a:lnTo>
              <a:lnTo>
                <a:pt x="3519178" y="1474384"/>
              </a:lnTo>
              <a:lnTo>
                <a:pt x="3551413" y="1433742"/>
              </a:lnTo>
              <a:lnTo>
                <a:pt x="3576907" y="1401035"/>
              </a:lnTo>
              <a:lnTo>
                <a:pt x="3584126" y="1391723"/>
              </a:lnTo>
              <a:lnTo>
                <a:pt x="3605880" y="1353782"/>
              </a:lnTo>
              <a:lnTo>
                <a:pt x="3602610" y="1350023"/>
              </a:lnTo>
              <a:lnTo>
                <a:pt x="3599339" y="1346265"/>
              </a:lnTo>
              <a:lnTo>
                <a:pt x="3591341" y="1345299"/>
              </a:lnTo>
              <a:lnTo>
                <a:pt x="3580797" y="1346171"/>
              </a:lnTo>
              <a:lnTo>
                <a:pt x="3539348" y="1355256"/>
              </a:lnTo>
              <a:lnTo>
                <a:pt x="3495440" y="1369745"/>
              </a:lnTo>
              <a:lnTo>
                <a:pt x="3443115" y="1389532"/>
              </a:lnTo>
              <a:lnTo>
                <a:pt x="3404682" y="1404935"/>
              </a:lnTo>
              <a:lnTo>
                <a:pt x="3364362" y="1421307"/>
              </a:lnTo>
              <a:lnTo>
                <a:pt x="3323198" y="1438373"/>
              </a:lnTo>
              <a:lnTo>
                <a:pt x="3282104" y="1455786"/>
              </a:lnTo>
              <a:lnTo>
                <a:pt x="3242218" y="1473110"/>
              </a:lnTo>
              <a:lnTo>
                <a:pt x="3204887" y="1489905"/>
              </a:lnTo>
              <a:lnTo>
                <a:pt x="3154480" y="1513253"/>
              </a:lnTo>
              <a:lnTo>
                <a:pt x="3112115" y="1533602"/>
              </a:lnTo>
              <a:lnTo>
                <a:pt x="3070518" y="1555798"/>
              </a:lnTo>
              <a:lnTo>
                <a:pt x="3062286" y="1560306"/>
              </a:lnTo>
              <a:lnTo>
                <a:pt x="3028148" y="1581126"/>
              </a:lnTo>
              <a:lnTo>
                <a:pt x="3026701" y="1582509"/>
              </a:lnTo>
              <a:lnTo>
                <a:pt x="3028910" y="1581887"/>
              </a:lnTo>
              <a:lnTo>
                <a:pt x="3034028" y="1579724"/>
              </a:lnTo>
              <a:lnTo>
                <a:pt x="3038513" y="1577733"/>
              </a:lnTo>
              <a:lnTo>
                <a:pt x="3044220" y="1575072"/>
              </a:lnTo>
              <a:lnTo>
                <a:pt x="3051037" y="1571844"/>
              </a:lnTo>
              <a:lnTo>
                <a:pt x="3058854" y="1568152"/>
              </a:lnTo>
              <a:lnTo>
                <a:pt x="3067786" y="1563917"/>
              </a:lnTo>
              <a:lnTo>
                <a:pt x="3077843" y="1559119"/>
              </a:lnTo>
              <a:lnTo>
                <a:pt x="3088762" y="1553950"/>
              </a:lnTo>
              <a:lnTo>
                <a:pt x="3125403" y="1537192"/>
              </a:lnTo>
              <a:lnTo>
                <a:pt x="3166968" y="1519018"/>
              </a:lnTo>
              <a:lnTo>
                <a:pt x="3211400" y="1500482"/>
              </a:lnTo>
              <a:lnTo>
                <a:pt x="3254640" y="1483077"/>
              </a:lnTo>
              <a:lnTo>
                <a:pt x="3293268" y="1468323"/>
              </a:lnTo>
              <a:lnTo>
                <a:pt x="3304936" y="1464020"/>
              </a:lnTo>
              <a:lnTo>
                <a:pt x="3315886" y="1459941"/>
              </a:lnTo>
              <a:lnTo>
                <a:pt x="3326120" y="1455953"/>
              </a:lnTo>
              <a:lnTo>
                <a:pt x="3335678" y="1452122"/>
              </a:lnTo>
              <a:lnTo>
                <a:pt x="3344524" y="1448697"/>
              </a:lnTo>
              <a:lnTo>
                <a:pt x="3377620" y="1441074"/>
              </a:lnTo>
              <a:lnTo>
                <a:pt x="3383454" y="1441707"/>
              </a:lnTo>
              <a:lnTo>
                <a:pt x="3386636" y="1444882"/>
              </a:lnTo>
              <a:lnTo>
                <a:pt x="3387630" y="1449726"/>
              </a:lnTo>
              <a:lnTo>
                <a:pt x="3388624" y="1454570"/>
              </a:lnTo>
              <a:lnTo>
                <a:pt x="3373191" y="1494341"/>
              </a:lnTo>
              <a:lnTo>
                <a:pt x="3349469" y="1540661"/>
              </a:lnTo>
              <a:lnTo>
                <a:pt x="3325091" y="1582731"/>
              </a:lnTo>
              <a:lnTo>
                <a:pt x="3296692" y="1628505"/>
              </a:lnTo>
              <a:lnTo>
                <a:pt x="3265860" y="1676144"/>
              </a:lnTo>
              <a:lnTo>
                <a:pt x="3233811" y="1723324"/>
              </a:lnTo>
              <a:lnTo>
                <a:pt x="3202159" y="1769279"/>
              </a:lnTo>
              <a:lnTo>
                <a:pt x="3181856" y="1798598"/>
              </a:lnTo>
              <a:lnTo>
                <a:pt x="3172200" y="1812601"/>
              </a:lnTo>
              <a:lnTo>
                <a:pt x="3144979" y="1851714"/>
              </a:lnTo>
              <a:lnTo>
                <a:pt x="3120578" y="1884499"/>
              </a:lnTo>
              <a:lnTo>
                <a:pt x="3113358" y="1894064"/>
              </a:lnTo>
              <a:lnTo>
                <a:pt x="3106703" y="1902973"/>
              </a:lnTo>
              <a:lnTo>
                <a:pt x="3100548" y="1911221"/>
              </a:lnTo>
              <a:lnTo>
                <a:pt x="3094893" y="1918737"/>
              </a:lnTo>
              <a:lnTo>
                <a:pt x="3089740" y="1925453"/>
              </a:lnTo>
              <a:lnTo>
                <a:pt x="3083204" y="1933843"/>
              </a:lnTo>
              <a:lnTo>
                <a:pt x="3077689" y="1940740"/>
              </a:lnTo>
              <a:lnTo>
                <a:pt x="3074139" y="1944403"/>
              </a:lnTo>
              <a:lnTo>
                <a:pt x="3070589" y="1948067"/>
              </a:lnTo>
              <a:lnTo>
                <a:pt x="3068812" y="1948917"/>
              </a:lnTo>
              <a:lnTo>
                <a:pt x="3068439" y="1947434"/>
              </a:lnTo>
              <a:lnTo>
                <a:pt x="3068067" y="1945952"/>
              </a:lnTo>
              <a:lnTo>
                <a:pt x="3086181" y="1904545"/>
              </a:lnTo>
              <a:lnTo>
                <a:pt x="3090161" y="1896954"/>
              </a:lnTo>
              <a:lnTo>
                <a:pt x="3094293" y="1889057"/>
              </a:lnTo>
              <a:lnTo>
                <a:pt x="3113915" y="1847363"/>
              </a:lnTo>
              <a:lnTo>
                <a:pt x="3131549" y="1805031"/>
              </a:lnTo>
              <a:lnTo>
                <a:pt x="3139853" y="1782607"/>
              </a:lnTo>
              <a:lnTo>
                <a:pt x="3142360" y="1775708"/>
              </a:lnTo>
              <a:lnTo>
                <a:pt x="3144772" y="1769054"/>
              </a:lnTo>
              <a:lnTo>
                <a:pt x="3146726" y="1762941"/>
              </a:lnTo>
              <a:lnTo>
                <a:pt x="3147859" y="1757669"/>
              </a:lnTo>
              <a:lnTo>
                <a:pt x="3148663" y="1751331"/>
              </a:lnTo>
              <a:lnTo>
                <a:pt x="3147928" y="1746774"/>
              </a:lnTo>
              <a:lnTo>
                <a:pt x="3144673" y="1744579"/>
              </a:lnTo>
              <a:lnTo>
                <a:pt x="3141418" y="1742385"/>
              </a:lnTo>
              <a:lnTo>
                <a:pt x="3136031" y="1742629"/>
              </a:lnTo>
              <a:lnTo>
                <a:pt x="3098458" y="1755797"/>
              </a:lnTo>
              <a:lnTo>
                <a:pt x="3055557" y="1775724"/>
              </a:lnTo>
              <a:lnTo>
                <a:pt x="3014068" y="1795662"/>
              </a:lnTo>
              <a:lnTo>
                <a:pt x="2966232" y="1819020"/>
              </a:lnTo>
              <a:lnTo>
                <a:pt x="2931906" y="1835929"/>
              </a:lnTo>
              <a:lnTo>
                <a:pt x="2896890" y="1853362"/>
              </a:lnTo>
              <a:lnTo>
                <a:pt x="2879151" y="1862183"/>
              </a:lnTo>
              <a:lnTo>
                <a:pt x="2861506" y="1870840"/>
              </a:lnTo>
              <a:lnTo>
                <a:pt x="2843866" y="1879306"/>
              </a:lnTo>
              <a:lnTo>
                <a:pt x="2826177" y="1887666"/>
              </a:lnTo>
              <a:lnTo>
                <a:pt x="2808681" y="1895922"/>
              </a:lnTo>
              <a:lnTo>
                <a:pt x="2791618" y="1904078"/>
              </a:lnTo>
              <a:lnTo>
                <a:pt x="2774878" y="1912240"/>
              </a:lnTo>
              <a:lnTo>
                <a:pt x="2758391" y="1920371"/>
              </a:lnTo>
              <a:lnTo>
                <a:pt x="2742459" y="1928258"/>
              </a:lnTo>
              <a:lnTo>
                <a:pt x="2727385" y="1935688"/>
              </a:lnTo>
              <a:lnTo>
                <a:pt x="2713005" y="1942690"/>
              </a:lnTo>
              <a:lnTo>
                <a:pt x="2699236" y="1949350"/>
              </a:lnTo>
              <a:lnTo>
                <a:pt x="2686516" y="1955534"/>
              </a:lnTo>
              <a:lnTo>
                <a:pt x="2675278" y="1961109"/>
              </a:lnTo>
              <a:lnTo>
                <a:pt x="2665611" y="1966127"/>
              </a:lnTo>
              <a:lnTo>
                <a:pt x="2657290" y="1970628"/>
              </a:lnTo>
              <a:lnTo>
                <a:pt x="2650288" y="1974467"/>
              </a:lnTo>
              <a:lnTo>
                <a:pt x="2644575" y="1977497"/>
              </a:lnTo>
              <a:lnTo>
                <a:pt x="2637806" y="1980931"/>
              </a:lnTo>
              <a:lnTo>
                <a:pt x="2634599" y="1982255"/>
              </a:lnTo>
              <a:lnTo>
                <a:pt x="2634657" y="1981720"/>
              </a:lnTo>
              <a:lnTo>
                <a:pt x="2634714" y="1981184"/>
              </a:lnTo>
              <a:lnTo>
                <a:pt x="2674876" y="1955800"/>
              </a:lnTo>
              <a:lnTo>
                <a:pt x="2710506" y="1935826"/>
              </a:lnTo>
              <a:lnTo>
                <a:pt x="2754004" y="1912862"/>
              </a:lnTo>
              <a:lnTo>
                <a:pt x="2802554" y="1888160"/>
              </a:lnTo>
              <a:lnTo>
                <a:pt x="2853550" y="1862740"/>
              </a:lnTo>
              <a:lnTo>
                <a:pt x="2888008" y="1845720"/>
              </a:lnTo>
              <a:lnTo>
                <a:pt x="2922012" y="1829012"/>
              </a:lnTo>
              <a:lnTo>
                <a:pt x="2938487" y="1820913"/>
              </a:lnTo>
              <a:lnTo>
                <a:pt x="2985827" y="1797779"/>
              </a:lnTo>
              <a:lnTo>
                <a:pt x="3028492" y="1777567"/>
              </a:lnTo>
              <a:lnTo>
                <a:pt x="3041332" y="1771483"/>
              </a:lnTo>
              <a:lnTo>
                <a:pt x="3053371" y="1765680"/>
              </a:lnTo>
              <a:lnTo>
                <a:pt x="3064685" y="1760171"/>
              </a:lnTo>
              <a:lnTo>
                <a:pt x="3075205" y="1755073"/>
              </a:lnTo>
              <a:lnTo>
                <a:pt x="3115016" y="1737373"/>
              </a:lnTo>
              <a:lnTo>
                <a:pt x="3122826" y="1735102"/>
              </a:lnTo>
              <a:lnTo>
                <a:pt x="3128020" y="1735165"/>
              </a:lnTo>
              <a:lnTo>
                <a:pt x="3131727" y="1736876"/>
              </a:lnTo>
              <a:lnTo>
                <a:pt x="3135433" y="1738589"/>
              </a:lnTo>
              <a:lnTo>
                <a:pt x="3136771" y="1742340"/>
              </a:lnTo>
              <a:lnTo>
                <a:pt x="3137255" y="1747643"/>
              </a:lnTo>
              <a:lnTo>
                <a:pt x="3137740" y="1752945"/>
              </a:lnTo>
              <a:lnTo>
                <a:pt x="3126890" y="1789814"/>
              </a:lnTo>
              <a:lnTo>
                <a:pt x="3111226" y="1824537"/>
              </a:lnTo>
              <a:lnTo>
                <a:pt x="3106806" y="1834046"/>
              </a:lnTo>
              <a:lnTo>
                <a:pt x="3102328" y="1843738"/>
              </a:lnTo>
              <a:lnTo>
                <a:pt x="3097715" y="1853685"/>
              </a:lnTo>
              <a:lnTo>
                <a:pt x="3093075" y="1863855"/>
              </a:lnTo>
              <a:lnTo>
                <a:pt x="3075069" y="1906976"/>
              </a:lnTo>
              <a:lnTo>
                <a:pt x="3059981" y="1947642"/>
              </a:lnTo>
              <a:lnTo>
                <a:pt x="3056670" y="1956855"/>
              </a:lnTo>
              <a:lnTo>
                <a:pt x="3053476" y="1965561"/>
              </a:lnTo>
              <a:lnTo>
                <a:pt x="3050424" y="1973825"/>
              </a:lnTo>
              <a:lnTo>
                <a:pt x="3047550" y="1981635"/>
              </a:lnTo>
              <a:lnTo>
                <a:pt x="3044891" y="1988978"/>
              </a:lnTo>
              <a:lnTo>
                <a:pt x="3042380" y="1995902"/>
              </a:lnTo>
              <a:lnTo>
                <a:pt x="3040023" y="2002396"/>
              </a:lnTo>
              <a:lnTo>
                <a:pt x="3037965" y="2008361"/>
              </a:lnTo>
              <a:lnTo>
                <a:pt x="3036350" y="2013698"/>
              </a:lnTo>
              <a:lnTo>
                <a:pt x="3034555" y="2020351"/>
              </a:lnTo>
              <a:lnTo>
                <a:pt x="3033464" y="2025863"/>
              </a:lnTo>
              <a:lnTo>
                <a:pt x="3034121" y="2028893"/>
              </a:lnTo>
              <a:lnTo>
                <a:pt x="3034779" y="2031925"/>
              </a:lnTo>
              <a:lnTo>
                <a:pt x="3036629" y="2033069"/>
              </a:lnTo>
              <a:lnTo>
                <a:pt x="3040291" y="2031884"/>
              </a:lnTo>
              <a:lnTo>
                <a:pt x="3068869" y="2011640"/>
              </a:lnTo>
              <a:lnTo>
                <a:pt x="3076587" y="2005448"/>
              </a:lnTo>
              <a:lnTo>
                <a:pt x="3118382" y="1975424"/>
              </a:lnTo>
              <a:lnTo>
                <a:pt x="3130998" y="1966694"/>
              </a:lnTo>
              <a:lnTo>
                <a:pt x="3144268" y="1957509"/>
              </a:lnTo>
              <a:lnTo>
                <a:pt x="3188388" y="1927469"/>
              </a:lnTo>
              <a:lnTo>
                <a:pt x="3221449" y="1905654"/>
              </a:lnTo>
              <a:lnTo>
                <a:pt x="3256490" y="1883230"/>
              </a:lnTo>
              <a:lnTo>
                <a:pt x="3292995" y="1860908"/>
              </a:lnTo>
              <a:lnTo>
                <a:pt x="3329716" y="1839145"/>
              </a:lnTo>
              <a:lnTo>
                <a:pt x="3365182" y="1818642"/>
              </a:lnTo>
              <a:lnTo>
                <a:pt x="3399539" y="1799390"/>
              </a:lnTo>
              <a:lnTo>
                <a:pt x="3448554" y="1773211"/>
              </a:lnTo>
              <a:lnTo>
                <a:pt x="3492982" y="1750947"/>
              </a:lnTo>
              <a:lnTo>
                <a:pt x="3519439" y="1738262"/>
              </a:lnTo>
              <a:lnTo>
                <a:pt x="3531406" y="1732505"/>
              </a:lnTo>
              <a:lnTo>
                <a:pt x="3571681" y="1713626"/>
              </a:lnTo>
              <a:lnTo>
                <a:pt x="3609363" y="1697749"/>
              </a:lnTo>
              <a:lnTo>
                <a:pt x="3622675" y="1693756"/>
              </a:lnTo>
              <a:lnTo>
                <a:pt x="3627847" y="1692169"/>
              </a:lnTo>
              <a:lnTo>
                <a:pt x="3634151" y="1691882"/>
              </a:lnTo>
              <a:lnTo>
                <a:pt x="3640456" y="1691595"/>
              </a:lnTo>
              <a:lnTo>
                <a:pt x="3646629" y="1691793"/>
              </a:lnTo>
              <a:lnTo>
                <a:pt x="3677462" y="1705302"/>
              </a:lnTo>
              <a:lnTo>
                <a:pt x="3684271" y="1708949"/>
              </a:lnTo>
              <a:lnTo>
                <a:pt x="3724874" y="1734878"/>
              </a:lnTo>
              <a:lnTo>
                <a:pt x="3744492" y="1749363"/>
              </a:lnTo>
              <a:lnTo>
                <a:pt x="3754997" y="1757134"/>
              </a:lnTo>
              <a:lnTo>
                <a:pt x="3789086" y="1783047"/>
              </a:lnTo>
              <a:lnTo>
                <a:pt x="3826201" y="1813223"/>
              </a:lnTo>
              <a:lnTo>
                <a:pt x="3839436" y="1824115"/>
              </a:lnTo>
              <a:lnTo>
                <a:pt x="3853325" y="1835461"/>
              </a:lnTo>
              <a:lnTo>
                <a:pt x="3867778" y="1847260"/>
              </a:lnTo>
              <a:lnTo>
                <a:pt x="3882469" y="1859360"/>
              </a:lnTo>
              <a:lnTo>
                <a:pt x="3911614" y="1884045"/>
              </a:lnTo>
              <a:lnTo>
                <a:pt x="3940762" y="1909516"/>
              </a:lnTo>
              <a:lnTo>
                <a:pt x="3969129" y="1935315"/>
              </a:lnTo>
              <a:lnTo>
                <a:pt x="4009791" y="1974188"/>
              </a:lnTo>
              <a:lnTo>
                <a:pt x="4045890" y="2010720"/>
              </a:lnTo>
              <a:lnTo>
                <a:pt x="4077235" y="2046482"/>
              </a:lnTo>
              <a:lnTo>
                <a:pt x="4103555" y="2079769"/>
              </a:lnTo>
              <a:lnTo>
                <a:pt x="4130455" y="2117098"/>
              </a:lnTo>
              <a:lnTo>
                <a:pt x="4152292" y="2154769"/>
              </a:lnTo>
              <a:lnTo>
                <a:pt x="4156392" y="2169985"/>
              </a:lnTo>
              <a:lnTo>
                <a:pt x="4155968" y="2173179"/>
              </a:lnTo>
              <a:lnTo>
                <a:pt x="4155545" y="2176374"/>
              </a:lnTo>
              <a:lnTo>
                <a:pt x="4154038" y="2178431"/>
              </a:lnTo>
              <a:lnTo>
                <a:pt x="4151693" y="2179585"/>
              </a:lnTo>
              <a:lnTo>
                <a:pt x="4149348" y="2180739"/>
              </a:lnTo>
              <a:lnTo>
                <a:pt x="4145346" y="2180436"/>
              </a:lnTo>
              <a:lnTo>
                <a:pt x="4141899" y="2180104"/>
              </a:lnTo>
              <a:lnTo>
                <a:pt x="4138452" y="2179771"/>
              </a:lnTo>
              <a:lnTo>
                <a:pt x="4132825" y="2178009"/>
              </a:lnTo>
              <a:lnTo>
                <a:pt x="4131010" y="2177591"/>
              </a:lnTo>
            </a:path>
          </a:pathLst>
        </a:custGeom>
        <a:ln w="228600">
          <a:solidFill>
            <a:srgbClr val="FFFFFF"/>
          </a:solidFill>
        </a:ln>
      </xdr:spPr>
    </xdr:sp>
    <xdr:clientData/>
  </xdr:oneCellAnchor>
  <xdr:oneCellAnchor>
    <xdr:from>
      <xdr:col>0</xdr:col>
      <xdr:colOff>451563</xdr:colOff>
      <xdr:row>233</xdr:row>
      <xdr:rowOff>114299</xdr:rowOff>
    </xdr:from>
    <xdr:ext cx="7109459" cy="4366260"/>
    <xdr:sp macro="" textlink="">
      <xdr:nvSpPr>
        <xdr:cNvPr id="7" name="Shape 7">
          <a:extLst>
            <a:ext uri="{FF2B5EF4-FFF2-40B4-BE49-F238E27FC236}">
              <a16:creationId xmlns:a16="http://schemas.microsoft.com/office/drawing/2014/main" id="{00000000-0008-0000-0000-000007000000}"/>
            </a:ext>
          </a:extLst>
        </xdr:cNvPr>
        <xdr:cNvSpPr/>
      </xdr:nvSpPr>
      <xdr:spPr>
        <a:xfrm>
          <a:off x="0" y="0"/>
          <a:ext cx="7109459" cy="4366260"/>
        </a:xfrm>
        <a:custGeom>
          <a:avLst/>
          <a:gdLst/>
          <a:ahLst/>
          <a:cxnLst/>
          <a:rect l="0" t="0" r="0" b="0"/>
          <a:pathLst>
            <a:path w="7109459" h="4366260">
              <a:moveTo>
                <a:pt x="501849" y="726144"/>
              </a:moveTo>
              <a:lnTo>
                <a:pt x="501849" y="726144"/>
              </a:lnTo>
              <a:lnTo>
                <a:pt x="532248" y="726144"/>
              </a:lnTo>
              <a:lnTo>
                <a:pt x="535440" y="725603"/>
              </a:lnTo>
              <a:lnTo>
                <a:pt x="538639" y="726144"/>
              </a:lnTo>
              <a:lnTo>
                <a:pt x="541838" y="726684"/>
              </a:lnTo>
              <a:lnTo>
                <a:pt x="545142" y="727856"/>
              </a:lnTo>
              <a:lnTo>
                <a:pt x="548431" y="729384"/>
              </a:lnTo>
              <a:lnTo>
                <a:pt x="551720" y="730912"/>
              </a:lnTo>
              <a:lnTo>
                <a:pt x="555059" y="732471"/>
              </a:lnTo>
              <a:lnTo>
                <a:pt x="578576" y="768769"/>
              </a:lnTo>
              <a:lnTo>
                <a:pt x="587445" y="807016"/>
              </a:lnTo>
              <a:lnTo>
                <a:pt x="592553" y="851308"/>
              </a:lnTo>
              <a:lnTo>
                <a:pt x="595256" y="892206"/>
              </a:lnTo>
              <a:lnTo>
                <a:pt x="596998" y="938886"/>
              </a:lnTo>
              <a:lnTo>
                <a:pt x="597313" y="972958"/>
              </a:lnTo>
              <a:lnTo>
                <a:pt x="597161" y="990873"/>
              </a:lnTo>
              <a:lnTo>
                <a:pt x="594709" y="1048043"/>
              </a:lnTo>
              <a:lnTo>
                <a:pt x="591761" y="1088766"/>
              </a:lnTo>
              <a:lnTo>
                <a:pt x="588055" y="1131002"/>
              </a:lnTo>
              <a:lnTo>
                <a:pt x="583736" y="1175377"/>
              </a:lnTo>
              <a:lnTo>
                <a:pt x="578987" y="1222527"/>
              </a:lnTo>
              <a:lnTo>
                <a:pt x="576466" y="1246988"/>
              </a:lnTo>
              <a:lnTo>
                <a:pt x="573906" y="1271918"/>
              </a:lnTo>
              <a:lnTo>
                <a:pt x="571301" y="1297432"/>
              </a:lnTo>
              <a:lnTo>
                <a:pt x="568633" y="1323534"/>
              </a:lnTo>
              <a:lnTo>
                <a:pt x="565931" y="1349960"/>
              </a:lnTo>
              <a:lnTo>
                <a:pt x="563225" y="1376452"/>
              </a:lnTo>
              <a:lnTo>
                <a:pt x="560510" y="1402964"/>
              </a:lnTo>
              <a:lnTo>
                <a:pt x="557776" y="1429626"/>
              </a:lnTo>
              <a:lnTo>
                <a:pt x="555038" y="1456442"/>
              </a:lnTo>
              <a:lnTo>
                <a:pt x="552313" y="1483413"/>
              </a:lnTo>
              <a:lnTo>
                <a:pt x="549637" y="1510586"/>
              </a:lnTo>
              <a:lnTo>
                <a:pt x="546993" y="1537946"/>
              </a:lnTo>
              <a:lnTo>
                <a:pt x="544309" y="1565396"/>
              </a:lnTo>
              <a:lnTo>
                <a:pt x="538622" y="1620298"/>
              </a:lnTo>
              <a:lnTo>
                <a:pt x="532575" y="1675291"/>
              </a:lnTo>
              <a:lnTo>
                <a:pt x="526015" y="1730110"/>
              </a:lnTo>
              <a:lnTo>
                <a:pt x="518940" y="1784756"/>
              </a:lnTo>
              <a:lnTo>
                <a:pt x="515387" y="1811978"/>
              </a:lnTo>
              <a:lnTo>
                <a:pt x="508375" y="1866408"/>
              </a:lnTo>
              <a:lnTo>
                <a:pt x="501227" y="1920160"/>
              </a:lnTo>
              <a:lnTo>
                <a:pt x="493715" y="1972476"/>
              </a:lnTo>
              <a:lnTo>
                <a:pt x="489906" y="1998281"/>
              </a:lnTo>
              <a:lnTo>
                <a:pt x="486149" y="2023998"/>
              </a:lnTo>
              <a:lnTo>
                <a:pt x="482440" y="2049608"/>
              </a:lnTo>
              <a:lnTo>
                <a:pt x="478752" y="2075070"/>
              </a:lnTo>
              <a:lnTo>
                <a:pt x="475114" y="2100454"/>
              </a:lnTo>
              <a:lnTo>
                <a:pt x="471554" y="2125831"/>
              </a:lnTo>
              <a:lnTo>
                <a:pt x="468112" y="2151269"/>
              </a:lnTo>
              <a:lnTo>
                <a:pt x="464763" y="2176713"/>
              </a:lnTo>
              <a:lnTo>
                <a:pt x="461436" y="2202051"/>
              </a:lnTo>
              <a:lnTo>
                <a:pt x="458061" y="2227171"/>
              </a:lnTo>
              <a:lnTo>
                <a:pt x="454604" y="2252032"/>
              </a:lnTo>
              <a:lnTo>
                <a:pt x="451107" y="2276699"/>
              </a:lnTo>
              <a:lnTo>
                <a:pt x="447615" y="2301213"/>
              </a:lnTo>
              <a:lnTo>
                <a:pt x="444171" y="2325618"/>
              </a:lnTo>
              <a:lnTo>
                <a:pt x="440812" y="2349977"/>
              </a:lnTo>
              <a:lnTo>
                <a:pt x="437507" y="2374250"/>
              </a:lnTo>
              <a:lnTo>
                <a:pt x="434197" y="2398324"/>
              </a:lnTo>
              <a:lnTo>
                <a:pt x="427351" y="2445517"/>
              </a:lnTo>
              <a:lnTo>
                <a:pt x="420274" y="2491556"/>
              </a:lnTo>
              <a:lnTo>
                <a:pt x="416774" y="2514116"/>
              </a:lnTo>
              <a:lnTo>
                <a:pt x="413316" y="2536421"/>
              </a:lnTo>
              <a:lnTo>
                <a:pt x="406477" y="2580112"/>
              </a:lnTo>
              <a:lnTo>
                <a:pt x="399835" y="2621932"/>
              </a:lnTo>
              <a:lnTo>
                <a:pt x="396558" y="2642194"/>
              </a:lnTo>
              <a:lnTo>
                <a:pt x="393391" y="2661882"/>
              </a:lnTo>
              <a:lnTo>
                <a:pt x="390415" y="2680842"/>
              </a:lnTo>
              <a:lnTo>
                <a:pt x="387670" y="2699083"/>
              </a:lnTo>
              <a:lnTo>
                <a:pt x="385108" y="2716669"/>
              </a:lnTo>
              <a:lnTo>
                <a:pt x="382671" y="2733534"/>
              </a:lnTo>
              <a:lnTo>
                <a:pt x="380304" y="2749613"/>
              </a:lnTo>
              <a:lnTo>
                <a:pt x="377977" y="2764936"/>
              </a:lnTo>
              <a:lnTo>
                <a:pt x="375727" y="2779524"/>
              </a:lnTo>
              <a:lnTo>
                <a:pt x="373588" y="2793288"/>
              </a:lnTo>
              <a:lnTo>
                <a:pt x="371599" y="2806141"/>
              </a:lnTo>
              <a:lnTo>
                <a:pt x="369763" y="2817996"/>
              </a:lnTo>
              <a:lnTo>
                <a:pt x="368064" y="2828921"/>
              </a:lnTo>
              <a:lnTo>
                <a:pt x="366501" y="2839061"/>
              </a:lnTo>
              <a:lnTo>
                <a:pt x="365077" y="2848559"/>
              </a:lnTo>
              <a:lnTo>
                <a:pt x="363685" y="2857475"/>
              </a:lnTo>
              <a:lnTo>
                <a:pt x="362360" y="2865723"/>
              </a:lnTo>
              <a:lnTo>
                <a:pt x="361313" y="2873238"/>
              </a:lnTo>
              <a:lnTo>
                <a:pt x="360755" y="2879951"/>
              </a:lnTo>
              <a:lnTo>
                <a:pt x="360431" y="2888337"/>
              </a:lnTo>
              <a:lnTo>
                <a:pt x="361578" y="2895221"/>
              </a:lnTo>
              <a:lnTo>
                <a:pt x="363130" y="2898873"/>
              </a:lnTo>
              <a:lnTo>
                <a:pt x="364683" y="2902525"/>
              </a:lnTo>
              <a:lnTo>
                <a:pt x="387928" y="2863541"/>
              </a:lnTo>
              <a:lnTo>
                <a:pt x="399306" y="2817312"/>
              </a:lnTo>
              <a:lnTo>
                <a:pt x="407951" y="2769163"/>
              </a:lnTo>
              <a:lnTo>
                <a:pt x="413477" y="2730368"/>
              </a:lnTo>
              <a:lnTo>
                <a:pt x="418226" y="2686497"/>
              </a:lnTo>
              <a:lnTo>
                <a:pt x="422811" y="2637016"/>
              </a:lnTo>
              <a:lnTo>
                <a:pt x="425296" y="2610159"/>
              </a:lnTo>
              <a:lnTo>
                <a:pt x="430391" y="2551977"/>
              </a:lnTo>
              <a:lnTo>
                <a:pt x="435077" y="2485442"/>
              </a:lnTo>
              <a:lnTo>
                <a:pt x="439354" y="2410552"/>
              </a:lnTo>
              <a:lnTo>
                <a:pt x="441443" y="2370173"/>
              </a:lnTo>
              <a:lnTo>
                <a:pt x="443468" y="2327839"/>
              </a:lnTo>
              <a:lnTo>
                <a:pt x="445427" y="2283533"/>
              </a:lnTo>
              <a:lnTo>
                <a:pt x="447419" y="2237303"/>
              </a:lnTo>
              <a:lnTo>
                <a:pt x="449545" y="2189200"/>
              </a:lnTo>
              <a:lnTo>
                <a:pt x="451839" y="2138983"/>
              </a:lnTo>
              <a:lnTo>
                <a:pt x="454247" y="2086712"/>
              </a:lnTo>
              <a:lnTo>
                <a:pt x="456729" y="2032879"/>
              </a:lnTo>
              <a:lnTo>
                <a:pt x="459246" y="1977978"/>
              </a:lnTo>
              <a:lnTo>
                <a:pt x="461287" y="1933100"/>
              </a:lnTo>
              <a:lnTo>
                <a:pt x="463368" y="1887166"/>
              </a:lnTo>
              <a:lnTo>
                <a:pt x="465476" y="1840577"/>
              </a:lnTo>
              <a:lnTo>
                <a:pt x="467597" y="1793734"/>
              </a:lnTo>
              <a:lnTo>
                <a:pt x="469718" y="1747039"/>
              </a:lnTo>
              <a:lnTo>
                <a:pt x="471793" y="1700297"/>
              </a:lnTo>
              <a:lnTo>
                <a:pt x="473829" y="1653242"/>
              </a:lnTo>
              <a:lnTo>
                <a:pt x="475899" y="1606163"/>
              </a:lnTo>
              <a:lnTo>
                <a:pt x="478071" y="1559352"/>
              </a:lnTo>
              <a:lnTo>
                <a:pt x="480416" y="1513099"/>
              </a:lnTo>
              <a:lnTo>
                <a:pt x="483638" y="1455742"/>
              </a:lnTo>
              <a:lnTo>
                <a:pt x="487094" y="1398757"/>
              </a:lnTo>
              <a:lnTo>
                <a:pt x="490674" y="1342736"/>
              </a:lnTo>
              <a:lnTo>
                <a:pt x="494271" y="1288268"/>
              </a:lnTo>
              <a:lnTo>
                <a:pt x="497897" y="1235316"/>
              </a:lnTo>
              <a:lnTo>
                <a:pt x="501597" y="1183629"/>
              </a:lnTo>
              <a:lnTo>
                <a:pt x="505308" y="1133483"/>
              </a:lnTo>
              <a:lnTo>
                <a:pt x="508970" y="1085151"/>
              </a:lnTo>
              <a:lnTo>
                <a:pt x="512587" y="1038644"/>
              </a:lnTo>
              <a:lnTo>
                <a:pt x="516184" y="993838"/>
              </a:lnTo>
              <a:lnTo>
                <a:pt x="519735" y="950800"/>
              </a:lnTo>
              <a:lnTo>
                <a:pt x="523213" y="909601"/>
              </a:lnTo>
              <a:lnTo>
                <a:pt x="526616" y="870161"/>
              </a:lnTo>
              <a:lnTo>
                <a:pt x="533228" y="796726"/>
              </a:lnTo>
              <a:lnTo>
                <a:pt x="539588" y="731667"/>
              </a:lnTo>
              <a:lnTo>
                <a:pt x="545694" y="674985"/>
              </a:lnTo>
              <a:lnTo>
                <a:pt x="548502" y="649543"/>
              </a:lnTo>
              <a:lnTo>
                <a:pt x="551117" y="625828"/>
              </a:lnTo>
              <a:lnTo>
                <a:pt x="555857" y="584196"/>
              </a:lnTo>
              <a:lnTo>
                <a:pt x="561665" y="539577"/>
              </a:lnTo>
              <a:lnTo>
                <a:pt x="566735" y="512263"/>
              </a:lnTo>
              <a:lnTo>
                <a:pt x="566830" y="516267"/>
              </a:lnTo>
              <a:lnTo>
                <a:pt x="566832" y="520485"/>
              </a:lnTo>
              <a:lnTo>
                <a:pt x="566615" y="526981"/>
              </a:lnTo>
              <a:lnTo>
                <a:pt x="561598" y="572189"/>
              </a:lnTo>
              <a:lnTo>
                <a:pt x="556669" y="605939"/>
              </a:lnTo>
              <a:lnTo>
                <a:pt x="553771" y="625695"/>
              </a:lnTo>
              <a:lnTo>
                <a:pt x="547014" y="670698"/>
              </a:lnTo>
              <a:lnTo>
                <a:pt x="538993" y="721051"/>
              </a:lnTo>
              <a:lnTo>
                <a:pt x="529707" y="776754"/>
              </a:lnTo>
              <a:lnTo>
                <a:pt x="518882" y="838055"/>
              </a:lnTo>
              <a:lnTo>
                <a:pt x="512848" y="870692"/>
              </a:lnTo>
              <a:lnTo>
                <a:pt x="506517" y="904954"/>
              </a:lnTo>
              <a:lnTo>
                <a:pt x="493293" y="979166"/>
              </a:lnTo>
              <a:lnTo>
                <a:pt x="486364" y="1018947"/>
              </a:lnTo>
              <a:lnTo>
                <a:pt x="479212" y="1060691"/>
              </a:lnTo>
              <a:lnTo>
                <a:pt x="471841" y="1104617"/>
              </a:lnTo>
              <a:lnTo>
                <a:pt x="464239" y="1150766"/>
              </a:lnTo>
              <a:lnTo>
                <a:pt x="456407" y="1199026"/>
              </a:lnTo>
              <a:lnTo>
                <a:pt x="448375" y="1249389"/>
              </a:lnTo>
              <a:lnTo>
                <a:pt x="440175" y="1301847"/>
              </a:lnTo>
              <a:lnTo>
                <a:pt x="433512" y="1345387"/>
              </a:lnTo>
              <a:lnTo>
                <a:pt x="426748" y="1390337"/>
              </a:lnTo>
              <a:lnTo>
                <a:pt x="419862" y="1436595"/>
              </a:lnTo>
              <a:lnTo>
                <a:pt x="412837" y="1484063"/>
              </a:lnTo>
              <a:lnTo>
                <a:pt x="405652" y="1532640"/>
              </a:lnTo>
              <a:lnTo>
                <a:pt x="398253" y="1582465"/>
              </a:lnTo>
              <a:lnTo>
                <a:pt x="390651" y="1633604"/>
              </a:lnTo>
              <a:lnTo>
                <a:pt x="382931" y="1685849"/>
              </a:lnTo>
              <a:lnTo>
                <a:pt x="375175" y="1738992"/>
              </a:lnTo>
              <a:lnTo>
                <a:pt x="367466" y="1792822"/>
              </a:lnTo>
              <a:lnTo>
                <a:pt x="361061" y="1838288"/>
              </a:lnTo>
              <a:lnTo>
                <a:pt x="354626" y="1884438"/>
              </a:lnTo>
              <a:lnTo>
                <a:pt x="348186" y="1931162"/>
              </a:lnTo>
              <a:lnTo>
                <a:pt x="341765" y="1978352"/>
              </a:lnTo>
              <a:lnTo>
                <a:pt x="335387" y="2025898"/>
              </a:lnTo>
              <a:lnTo>
                <a:pt x="329077" y="2073690"/>
              </a:lnTo>
              <a:lnTo>
                <a:pt x="322861" y="2121912"/>
              </a:lnTo>
              <a:lnTo>
                <a:pt x="316725" y="2170688"/>
              </a:lnTo>
              <a:lnTo>
                <a:pt x="310632" y="2219819"/>
              </a:lnTo>
              <a:lnTo>
                <a:pt x="304546" y="2269109"/>
              </a:lnTo>
              <a:lnTo>
                <a:pt x="298431" y="2318360"/>
              </a:lnTo>
              <a:lnTo>
                <a:pt x="292250" y="2367375"/>
              </a:lnTo>
              <a:lnTo>
                <a:pt x="285947" y="2416322"/>
              </a:lnTo>
              <a:lnTo>
                <a:pt x="279540" y="2465394"/>
              </a:lnTo>
              <a:lnTo>
                <a:pt x="273104" y="2514427"/>
              </a:lnTo>
              <a:lnTo>
                <a:pt x="266713" y="2563258"/>
              </a:lnTo>
              <a:lnTo>
                <a:pt x="260440" y="2611724"/>
              </a:lnTo>
              <a:lnTo>
                <a:pt x="254361" y="2659663"/>
              </a:lnTo>
              <a:lnTo>
                <a:pt x="248460" y="2707219"/>
              </a:lnTo>
              <a:lnTo>
                <a:pt x="242673" y="2754550"/>
              </a:lnTo>
              <a:lnTo>
                <a:pt x="237005" y="2801517"/>
              </a:lnTo>
              <a:lnTo>
                <a:pt x="231461" y="2847979"/>
              </a:lnTo>
              <a:lnTo>
                <a:pt x="226045" y="2893795"/>
              </a:lnTo>
              <a:lnTo>
                <a:pt x="220762" y="2938826"/>
              </a:lnTo>
              <a:lnTo>
                <a:pt x="214554" y="2992069"/>
              </a:lnTo>
              <a:lnTo>
                <a:pt x="208488" y="3044581"/>
              </a:lnTo>
              <a:lnTo>
                <a:pt x="202628" y="3096064"/>
              </a:lnTo>
              <a:lnTo>
                <a:pt x="197037" y="3146220"/>
              </a:lnTo>
              <a:lnTo>
                <a:pt x="191777" y="3194749"/>
              </a:lnTo>
              <a:lnTo>
                <a:pt x="185659" y="3253309"/>
              </a:lnTo>
              <a:lnTo>
                <a:pt x="179993" y="3309743"/>
              </a:lnTo>
              <a:lnTo>
                <a:pt x="174781" y="3363739"/>
              </a:lnTo>
              <a:lnTo>
                <a:pt x="170027" y="3414986"/>
              </a:lnTo>
              <a:lnTo>
                <a:pt x="165761" y="3463455"/>
              </a:lnTo>
              <a:lnTo>
                <a:pt x="161971" y="3509295"/>
              </a:lnTo>
              <a:lnTo>
                <a:pt x="158600" y="3552459"/>
              </a:lnTo>
              <a:lnTo>
                <a:pt x="155592" y="3592900"/>
              </a:lnTo>
              <a:lnTo>
                <a:pt x="150668" y="3665694"/>
              </a:lnTo>
              <a:lnTo>
                <a:pt x="147269" y="3727508"/>
              </a:lnTo>
              <a:lnTo>
                <a:pt x="145355" y="3777777"/>
              </a:lnTo>
              <a:lnTo>
                <a:pt x="144983" y="3798861"/>
              </a:lnTo>
              <a:lnTo>
                <a:pt x="145037" y="3817579"/>
              </a:lnTo>
              <a:lnTo>
                <a:pt x="147797" y="3859092"/>
              </a:lnTo>
              <a:lnTo>
                <a:pt x="159727" y="3884592"/>
              </a:lnTo>
              <a:lnTo>
                <a:pt x="163881" y="3884731"/>
              </a:lnTo>
              <a:lnTo>
                <a:pt x="182233" y="3851204"/>
              </a:lnTo>
              <a:lnTo>
                <a:pt x="194542" y="3815060"/>
              </a:lnTo>
              <a:lnTo>
                <a:pt x="207573" y="3770781"/>
              </a:lnTo>
              <a:lnTo>
                <a:pt x="222451" y="3717964"/>
              </a:lnTo>
              <a:lnTo>
                <a:pt x="231868" y="3680332"/>
              </a:lnTo>
              <a:lnTo>
                <a:pt x="240625" y="3641176"/>
              </a:lnTo>
              <a:lnTo>
                <a:pt x="244929" y="3621476"/>
              </a:lnTo>
              <a:lnTo>
                <a:pt x="249270" y="3601712"/>
              </a:lnTo>
              <a:lnTo>
                <a:pt x="257804" y="3561943"/>
              </a:lnTo>
              <a:lnTo>
                <a:pt x="265442" y="3523009"/>
              </a:lnTo>
              <a:lnTo>
                <a:pt x="272185" y="3484909"/>
              </a:lnTo>
              <a:lnTo>
                <a:pt x="281204" y="3429860"/>
              </a:lnTo>
              <a:lnTo>
                <a:pt x="283939" y="3412160"/>
              </a:lnTo>
              <a:lnTo>
                <a:pt x="286597" y="3395011"/>
              </a:lnTo>
              <a:lnTo>
                <a:pt x="294153" y="3346668"/>
              </a:lnTo>
              <a:lnTo>
                <a:pt x="300411" y="3303752"/>
              </a:lnTo>
              <a:lnTo>
                <a:pt x="306576" y="3255904"/>
              </a:lnTo>
              <a:lnTo>
                <a:pt x="310438" y="3217364"/>
              </a:lnTo>
              <a:lnTo>
                <a:pt x="313015" y="3174323"/>
              </a:lnTo>
              <a:lnTo>
                <a:pt x="313381" y="3153072"/>
              </a:lnTo>
              <a:lnTo>
                <a:pt x="313377" y="3146593"/>
              </a:lnTo>
              <a:lnTo>
                <a:pt x="312884" y="3103867"/>
              </a:lnTo>
              <a:lnTo>
                <a:pt x="312752" y="3092660"/>
              </a:lnTo>
              <a:lnTo>
                <a:pt x="313076" y="3052133"/>
              </a:lnTo>
              <a:lnTo>
                <a:pt x="314433" y="3002095"/>
              </a:lnTo>
              <a:lnTo>
                <a:pt x="315957" y="2963722"/>
              </a:lnTo>
              <a:lnTo>
                <a:pt x="318927" y="2921259"/>
              </a:lnTo>
              <a:lnTo>
                <a:pt x="323345" y="2874705"/>
              </a:lnTo>
              <a:lnTo>
                <a:pt x="328884" y="2824760"/>
              </a:lnTo>
              <a:lnTo>
                <a:pt x="335543" y="2771423"/>
              </a:lnTo>
              <a:lnTo>
                <a:pt x="342968" y="2716140"/>
              </a:lnTo>
              <a:lnTo>
                <a:pt x="351160" y="2658911"/>
              </a:lnTo>
              <a:lnTo>
                <a:pt x="360293" y="2600156"/>
              </a:lnTo>
              <a:lnTo>
                <a:pt x="370366" y="2539875"/>
              </a:lnTo>
              <a:lnTo>
                <a:pt x="381269" y="2480019"/>
              </a:lnTo>
              <a:lnTo>
                <a:pt x="393001" y="2420588"/>
              </a:lnTo>
              <a:lnTo>
                <a:pt x="405405" y="2362257"/>
              </a:lnTo>
              <a:lnTo>
                <a:pt x="418480" y="2305026"/>
              </a:lnTo>
              <a:lnTo>
                <a:pt x="431551" y="2250450"/>
              </a:lnTo>
              <a:lnTo>
                <a:pt x="444619" y="2198530"/>
              </a:lnTo>
              <a:lnTo>
                <a:pt x="457423" y="2149844"/>
              </a:lnTo>
              <a:lnTo>
                <a:pt x="469963" y="2104394"/>
              </a:lnTo>
              <a:lnTo>
                <a:pt x="481710" y="2063247"/>
              </a:lnTo>
              <a:lnTo>
                <a:pt x="492665" y="2026404"/>
              </a:lnTo>
              <a:lnTo>
                <a:pt x="506533" y="1980475"/>
              </a:lnTo>
              <a:lnTo>
                <a:pt x="510477" y="1967581"/>
              </a:lnTo>
              <a:lnTo>
                <a:pt x="514080" y="1955733"/>
              </a:lnTo>
              <a:lnTo>
                <a:pt x="517319" y="1944781"/>
              </a:lnTo>
              <a:lnTo>
                <a:pt x="520206" y="1934818"/>
              </a:lnTo>
              <a:lnTo>
                <a:pt x="522779" y="1926114"/>
              </a:lnTo>
              <a:lnTo>
                <a:pt x="532796" y="1904186"/>
              </a:lnTo>
              <a:lnTo>
                <a:pt x="533428" y="1906797"/>
              </a:lnTo>
              <a:lnTo>
                <a:pt x="528326" y="1943953"/>
              </a:lnTo>
              <a:lnTo>
                <a:pt x="526581" y="1954916"/>
              </a:lnTo>
              <a:lnTo>
                <a:pt x="519917" y="1995278"/>
              </a:lnTo>
              <a:lnTo>
                <a:pt x="511114" y="2045647"/>
              </a:lnTo>
              <a:lnTo>
                <a:pt x="504248" y="2084069"/>
              </a:lnTo>
              <a:lnTo>
                <a:pt x="496617" y="2126222"/>
              </a:lnTo>
              <a:lnTo>
                <a:pt x="492597" y="2148482"/>
              </a:lnTo>
              <a:lnTo>
                <a:pt x="488480" y="2171441"/>
              </a:lnTo>
              <a:lnTo>
                <a:pt x="484239" y="2195165"/>
              </a:lnTo>
              <a:lnTo>
                <a:pt x="479837" y="2219727"/>
              </a:lnTo>
              <a:lnTo>
                <a:pt x="475233" y="2245199"/>
              </a:lnTo>
              <a:lnTo>
                <a:pt x="470345" y="2271631"/>
              </a:lnTo>
              <a:lnTo>
                <a:pt x="465217" y="2298975"/>
              </a:lnTo>
              <a:lnTo>
                <a:pt x="460006" y="2327153"/>
              </a:lnTo>
              <a:lnTo>
                <a:pt x="449830" y="2385954"/>
              </a:lnTo>
              <a:lnTo>
                <a:pt x="439818" y="2448033"/>
              </a:lnTo>
              <a:lnTo>
                <a:pt x="429853" y="2511184"/>
              </a:lnTo>
              <a:lnTo>
                <a:pt x="419934" y="2575405"/>
              </a:lnTo>
              <a:lnTo>
                <a:pt x="410514" y="2640082"/>
              </a:lnTo>
              <a:lnTo>
                <a:pt x="401593" y="2705215"/>
              </a:lnTo>
              <a:lnTo>
                <a:pt x="393275" y="2769419"/>
              </a:lnTo>
              <a:lnTo>
                <a:pt x="385559" y="2832693"/>
              </a:lnTo>
              <a:lnTo>
                <a:pt x="378358" y="2894694"/>
              </a:lnTo>
              <a:lnTo>
                <a:pt x="371670" y="2955421"/>
              </a:lnTo>
              <a:lnTo>
                <a:pt x="365846" y="3013513"/>
              </a:lnTo>
              <a:lnTo>
                <a:pt x="360885" y="3068971"/>
              </a:lnTo>
              <a:lnTo>
                <a:pt x="356777" y="3121346"/>
              </a:lnTo>
              <a:lnTo>
                <a:pt x="353523" y="3170640"/>
              </a:lnTo>
              <a:lnTo>
                <a:pt x="350973" y="3215265"/>
              </a:lnTo>
              <a:lnTo>
                <a:pt x="349125" y="3255223"/>
              </a:lnTo>
              <a:lnTo>
                <a:pt x="347319" y="3306837"/>
              </a:lnTo>
              <a:lnTo>
                <a:pt x="346413" y="3348405"/>
              </a:lnTo>
              <a:lnTo>
                <a:pt x="346157" y="3370495"/>
              </a:lnTo>
              <a:lnTo>
                <a:pt x="346249" y="3379998"/>
              </a:lnTo>
              <a:lnTo>
                <a:pt x="350222" y="3419375"/>
              </a:lnTo>
              <a:lnTo>
                <a:pt x="354937" y="3422882"/>
              </a:lnTo>
              <a:lnTo>
                <a:pt x="358907" y="3421360"/>
              </a:lnTo>
              <a:lnTo>
                <a:pt x="362325" y="3418374"/>
              </a:lnTo>
              <a:lnTo>
                <a:pt x="365744" y="3415388"/>
              </a:lnTo>
              <a:lnTo>
                <a:pt x="385772" y="3376328"/>
              </a:lnTo>
              <a:lnTo>
                <a:pt x="398881" y="3336808"/>
              </a:lnTo>
              <a:lnTo>
                <a:pt x="409617" y="3297408"/>
              </a:lnTo>
              <a:lnTo>
                <a:pt x="420348" y="3253400"/>
              </a:lnTo>
              <a:lnTo>
                <a:pt x="430707" y="3205073"/>
              </a:lnTo>
              <a:lnTo>
                <a:pt x="437263" y="3170258"/>
              </a:lnTo>
              <a:lnTo>
                <a:pt x="440593" y="3152366"/>
              </a:lnTo>
              <a:lnTo>
                <a:pt x="450959" y="3096794"/>
              </a:lnTo>
              <a:lnTo>
                <a:pt x="457739" y="3058682"/>
              </a:lnTo>
              <a:lnTo>
                <a:pt x="464356" y="3019830"/>
              </a:lnTo>
              <a:lnTo>
                <a:pt x="467734" y="3000440"/>
              </a:lnTo>
              <a:lnTo>
                <a:pt x="474759" y="2961482"/>
              </a:lnTo>
              <a:lnTo>
                <a:pt x="481827" y="2923423"/>
              </a:lnTo>
              <a:lnTo>
                <a:pt x="492169" y="2869866"/>
              </a:lnTo>
              <a:lnTo>
                <a:pt x="502132" y="2821825"/>
              </a:lnTo>
              <a:lnTo>
                <a:pt x="511098" y="2780708"/>
              </a:lnTo>
              <a:lnTo>
                <a:pt x="516196" y="2757760"/>
              </a:lnTo>
              <a:lnTo>
                <a:pt x="518460" y="2747512"/>
              </a:lnTo>
              <a:lnTo>
                <a:pt x="520517" y="2737973"/>
              </a:lnTo>
              <a:lnTo>
                <a:pt x="522380" y="2729191"/>
              </a:lnTo>
              <a:lnTo>
                <a:pt x="524061" y="2721349"/>
              </a:lnTo>
              <a:lnTo>
                <a:pt x="525577" y="2714630"/>
              </a:lnTo>
              <a:lnTo>
                <a:pt x="527495" y="2706501"/>
              </a:lnTo>
              <a:lnTo>
                <a:pt x="528854" y="2701090"/>
              </a:lnTo>
              <a:lnTo>
                <a:pt x="529965" y="2698739"/>
              </a:lnTo>
              <a:lnTo>
                <a:pt x="531075" y="2696388"/>
              </a:lnTo>
              <a:lnTo>
                <a:pt x="531993" y="2696886"/>
              </a:lnTo>
              <a:lnTo>
                <a:pt x="532241" y="2700525"/>
              </a:lnTo>
              <a:lnTo>
                <a:pt x="532489" y="2704162"/>
              </a:lnTo>
              <a:lnTo>
                <a:pt x="531949" y="2711041"/>
              </a:lnTo>
              <a:lnTo>
                <a:pt x="531454" y="2720566"/>
              </a:lnTo>
              <a:lnTo>
                <a:pt x="531052" y="2728362"/>
              </a:lnTo>
              <a:lnTo>
                <a:pt x="530571" y="2737304"/>
              </a:lnTo>
              <a:lnTo>
                <a:pt x="527443" y="2780984"/>
              </a:lnTo>
              <a:lnTo>
                <a:pt x="523799" y="2820207"/>
              </a:lnTo>
              <a:lnTo>
                <a:pt x="519111" y="2863113"/>
              </a:lnTo>
              <a:lnTo>
                <a:pt x="513435" y="2908311"/>
              </a:lnTo>
              <a:lnTo>
                <a:pt x="511543" y="2923322"/>
              </a:lnTo>
              <a:lnTo>
                <a:pt x="506139" y="2967442"/>
              </a:lnTo>
              <a:lnTo>
                <a:pt x="501496" y="3009559"/>
              </a:lnTo>
              <a:lnTo>
                <a:pt x="497761" y="3047674"/>
              </a:lnTo>
              <a:lnTo>
                <a:pt x="494977" y="3079925"/>
              </a:lnTo>
              <a:lnTo>
                <a:pt x="494165" y="3089387"/>
              </a:lnTo>
              <a:lnTo>
                <a:pt x="493402" y="3098232"/>
              </a:lnTo>
              <a:lnTo>
                <a:pt x="492824" y="3106292"/>
              </a:lnTo>
              <a:lnTo>
                <a:pt x="492566" y="3113402"/>
              </a:lnTo>
              <a:lnTo>
                <a:pt x="492497" y="3122175"/>
              </a:lnTo>
              <a:lnTo>
                <a:pt x="493044" y="3129801"/>
              </a:lnTo>
              <a:lnTo>
                <a:pt x="494560" y="3132562"/>
              </a:lnTo>
              <a:lnTo>
                <a:pt x="496075" y="3135322"/>
              </a:lnTo>
              <a:lnTo>
                <a:pt x="498797" y="3134460"/>
              </a:lnTo>
              <a:lnTo>
                <a:pt x="515317" y="3095632"/>
              </a:lnTo>
              <a:lnTo>
                <a:pt x="528043" y="3056651"/>
              </a:lnTo>
              <a:lnTo>
                <a:pt x="541639" y="3004608"/>
              </a:lnTo>
              <a:lnTo>
                <a:pt x="551100" y="2962427"/>
              </a:lnTo>
              <a:lnTo>
                <a:pt x="560835" y="2914221"/>
              </a:lnTo>
              <a:lnTo>
                <a:pt x="570615" y="2861063"/>
              </a:lnTo>
              <a:lnTo>
                <a:pt x="580438" y="2802954"/>
              </a:lnTo>
              <a:lnTo>
                <a:pt x="585664" y="2772386"/>
              </a:lnTo>
              <a:lnTo>
                <a:pt x="591221" y="2740714"/>
              </a:lnTo>
              <a:lnTo>
                <a:pt x="597025" y="2707910"/>
              </a:lnTo>
              <a:lnTo>
                <a:pt x="602964" y="2674343"/>
              </a:lnTo>
              <a:lnTo>
                <a:pt x="614923" y="2605878"/>
              </a:lnTo>
              <a:lnTo>
                <a:pt x="627098" y="2535319"/>
              </a:lnTo>
              <a:lnTo>
                <a:pt x="639195" y="2464812"/>
              </a:lnTo>
              <a:lnTo>
                <a:pt x="651213" y="2394358"/>
              </a:lnTo>
              <a:lnTo>
                <a:pt x="662500" y="2326311"/>
              </a:lnTo>
              <a:lnTo>
                <a:pt x="673055" y="2260672"/>
              </a:lnTo>
              <a:lnTo>
                <a:pt x="678176" y="2229311"/>
              </a:lnTo>
              <a:lnTo>
                <a:pt x="688100" y="2169566"/>
              </a:lnTo>
              <a:lnTo>
                <a:pt x="697699" y="2114172"/>
              </a:lnTo>
              <a:lnTo>
                <a:pt x="707287" y="2063607"/>
              </a:lnTo>
              <a:lnTo>
                <a:pt x="716307" y="2018284"/>
              </a:lnTo>
              <a:lnTo>
                <a:pt x="720373" y="1997832"/>
              </a:lnTo>
              <a:lnTo>
                <a:pt x="731294" y="1945084"/>
              </a:lnTo>
              <a:lnTo>
                <a:pt x="740788" y="1905698"/>
              </a:lnTo>
              <a:lnTo>
                <a:pt x="754197" y="1868269"/>
              </a:lnTo>
              <a:lnTo>
                <a:pt x="754773" y="1870535"/>
              </a:lnTo>
              <a:lnTo>
                <a:pt x="751763" y="1909090"/>
              </a:lnTo>
              <a:lnTo>
                <a:pt x="745993" y="1949301"/>
              </a:lnTo>
              <a:lnTo>
                <a:pt x="737567" y="2002353"/>
              </a:lnTo>
              <a:lnTo>
                <a:pt x="730675" y="2043865"/>
              </a:lnTo>
              <a:lnTo>
                <a:pt x="727003" y="2066005"/>
              </a:lnTo>
              <a:lnTo>
                <a:pt x="719037" y="2113186"/>
              </a:lnTo>
              <a:lnTo>
                <a:pt x="709598" y="2162699"/>
              </a:lnTo>
              <a:lnTo>
                <a:pt x="698686" y="2214545"/>
              </a:lnTo>
              <a:lnTo>
                <a:pt x="687193" y="2268201"/>
              </a:lnTo>
              <a:lnTo>
                <a:pt x="675118" y="2323665"/>
              </a:lnTo>
              <a:lnTo>
                <a:pt x="669201" y="2351171"/>
              </a:lnTo>
              <a:lnTo>
                <a:pt x="663450" y="2378409"/>
              </a:lnTo>
              <a:lnTo>
                <a:pt x="657780" y="2405560"/>
              </a:lnTo>
              <a:lnTo>
                <a:pt x="652188" y="2432430"/>
              </a:lnTo>
              <a:lnTo>
                <a:pt x="646673" y="2458827"/>
              </a:lnTo>
              <a:lnTo>
                <a:pt x="635784" y="2510663"/>
              </a:lnTo>
              <a:lnTo>
                <a:pt x="625376" y="2559931"/>
              </a:lnTo>
              <a:lnTo>
                <a:pt x="615693" y="2605324"/>
              </a:lnTo>
              <a:lnTo>
                <a:pt x="606694" y="2647053"/>
              </a:lnTo>
              <a:lnTo>
                <a:pt x="598348" y="2685050"/>
              </a:lnTo>
              <a:lnTo>
                <a:pt x="594473" y="2702543"/>
              </a:lnTo>
              <a:lnTo>
                <a:pt x="590875" y="2718851"/>
              </a:lnTo>
              <a:lnTo>
                <a:pt x="587528" y="2734177"/>
              </a:lnTo>
              <a:lnTo>
                <a:pt x="584414" y="2748514"/>
              </a:lnTo>
              <a:lnTo>
                <a:pt x="581606" y="2761408"/>
              </a:lnTo>
              <a:lnTo>
                <a:pt x="572322" y="2801328"/>
              </a:lnTo>
              <a:lnTo>
                <a:pt x="572762" y="2800445"/>
              </a:lnTo>
              <a:lnTo>
                <a:pt x="574221" y="2792325"/>
              </a:lnTo>
              <a:lnTo>
                <a:pt x="575440" y="2785103"/>
              </a:lnTo>
              <a:lnTo>
                <a:pt x="577018" y="2775571"/>
              </a:lnTo>
              <a:lnTo>
                <a:pt x="579118" y="2763655"/>
              </a:lnTo>
              <a:lnTo>
                <a:pt x="589532" y="2713519"/>
              </a:lnTo>
              <a:lnTo>
                <a:pt x="599689" y="2667340"/>
              </a:lnTo>
              <a:lnTo>
                <a:pt x="605721" y="2639803"/>
              </a:lnTo>
              <a:lnTo>
                <a:pt x="619684" y="2576405"/>
              </a:lnTo>
              <a:lnTo>
                <a:pt x="636197" y="2503118"/>
              </a:lnTo>
              <a:lnTo>
                <a:pt x="645442" y="2462702"/>
              </a:lnTo>
              <a:lnTo>
                <a:pt x="655260" y="2419943"/>
              </a:lnTo>
              <a:lnTo>
                <a:pt x="665569" y="2375043"/>
              </a:lnTo>
              <a:lnTo>
                <a:pt x="676371" y="2327844"/>
              </a:lnTo>
              <a:lnTo>
                <a:pt x="687702" y="2278309"/>
              </a:lnTo>
              <a:lnTo>
                <a:pt x="699530" y="2226821"/>
              </a:lnTo>
              <a:lnTo>
                <a:pt x="711825" y="2173761"/>
              </a:lnTo>
              <a:lnTo>
                <a:pt x="722018" y="2130025"/>
              </a:lnTo>
              <a:lnTo>
                <a:pt x="732542" y="2084984"/>
              </a:lnTo>
              <a:lnTo>
                <a:pt x="743358" y="2038965"/>
              </a:lnTo>
              <a:lnTo>
                <a:pt x="754427" y="1992291"/>
              </a:lnTo>
              <a:lnTo>
                <a:pt x="765710" y="1945289"/>
              </a:lnTo>
              <a:lnTo>
                <a:pt x="777314" y="1897554"/>
              </a:lnTo>
              <a:lnTo>
                <a:pt x="789265" y="1848868"/>
              </a:lnTo>
              <a:lnTo>
                <a:pt x="801403" y="1799839"/>
              </a:lnTo>
              <a:lnTo>
                <a:pt x="813566" y="1751075"/>
              </a:lnTo>
              <a:lnTo>
                <a:pt x="825594" y="1703181"/>
              </a:lnTo>
              <a:lnTo>
                <a:pt x="837565" y="1655962"/>
              </a:lnTo>
              <a:lnTo>
                <a:pt x="849586" y="1609013"/>
              </a:lnTo>
              <a:lnTo>
                <a:pt x="861540" y="1562629"/>
              </a:lnTo>
              <a:lnTo>
                <a:pt x="873311" y="1517104"/>
              </a:lnTo>
              <a:lnTo>
                <a:pt x="884782" y="1472733"/>
              </a:lnTo>
              <a:lnTo>
                <a:pt x="898784" y="1418738"/>
              </a:lnTo>
              <a:lnTo>
                <a:pt x="912489" y="1366156"/>
              </a:lnTo>
              <a:lnTo>
                <a:pt x="925749" y="1315238"/>
              </a:lnTo>
              <a:lnTo>
                <a:pt x="938421" y="1266231"/>
              </a:lnTo>
              <a:lnTo>
                <a:pt x="950481" y="1219078"/>
              </a:lnTo>
              <a:lnTo>
                <a:pt x="962001" y="1173690"/>
              </a:lnTo>
              <a:lnTo>
                <a:pt x="972978" y="1130260"/>
              </a:lnTo>
              <a:lnTo>
                <a:pt x="983409" y="1088984"/>
              </a:lnTo>
              <a:lnTo>
                <a:pt x="993258" y="1049941"/>
              </a:lnTo>
              <a:lnTo>
                <a:pt x="1002538" y="1013018"/>
              </a:lnTo>
              <a:lnTo>
                <a:pt x="1011318" y="978121"/>
              </a:lnTo>
              <a:lnTo>
                <a:pt x="1019665" y="945159"/>
              </a:lnTo>
              <a:lnTo>
                <a:pt x="1027620" y="914112"/>
              </a:lnTo>
              <a:lnTo>
                <a:pt x="1035140" y="885027"/>
              </a:lnTo>
              <a:lnTo>
                <a:pt x="1042164" y="857912"/>
              </a:lnTo>
              <a:lnTo>
                <a:pt x="1048633" y="832773"/>
              </a:lnTo>
              <a:lnTo>
                <a:pt x="1054479" y="809661"/>
              </a:lnTo>
              <a:lnTo>
                <a:pt x="1059752" y="788554"/>
              </a:lnTo>
              <a:lnTo>
                <a:pt x="1064565" y="769357"/>
              </a:lnTo>
              <a:lnTo>
                <a:pt x="1076995" y="722114"/>
              </a:lnTo>
              <a:lnTo>
                <a:pt x="1089407" y="685919"/>
              </a:lnTo>
              <a:lnTo>
                <a:pt x="1090457" y="687492"/>
              </a:lnTo>
              <a:lnTo>
                <a:pt x="1091507" y="689064"/>
              </a:lnTo>
              <a:lnTo>
                <a:pt x="1086504" y="734258"/>
              </a:lnTo>
              <a:lnTo>
                <a:pt x="1078478" y="785140"/>
              </a:lnTo>
              <a:lnTo>
                <a:pt x="1070834" y="828416"/>
              </a:lnTo>
              <a:lnTo>
                <a:pt x="1066617" y="852362"/>
              </a:lnTo>
              <a:lnTo>
                <a:pt x="1062228" y="877655"/>
              </a:lnTo>
              <a:lnTo>
                <a:pt x="1057593" y="904441"/>
              </a:lnTo>
              <a:lnTo>
                <a:pt x="1052660" y="932857"/>
              </a:lnTo>
              <a:lnTo>
                <a:pt x="1041728" y="995195"/>
              </a:lnTo>
              <a:lnTo>
                <a:pt x="1029431" y="1064669"/>
              </a:lnTo>
              <a:lnTo>
                <a:pt x="1015838" y="1138982"/>
              </a:lnTo>
              <a:lnTo>
                <a:pt x="1008507" y="1178066"/>
              </a:lnTo>
              <a:lnTo>
                <a:pt x="1000949" y="1218135"/>
              </a:lnTo>
              <a:lnTo>
                <a:pt x="993286" y="1258844"/>
              </a:lnTo>
              <a:lnTo>
                <a:pt x="985538" y="1300231"/>
              </a:lnTo>
              <a:lnTo>
                <a:pt x="977643" y="1342438"/>
              </a:lnTo>
              <a:lnTo>
                <a:pt x="969605" y="1385271"/>
              </a:lnTo>
              <a:lnTo>
                <a:pt x="961430" y="1428539"/>
              </a:lnTo>
              <a:lnTo>
                <a:pt x="953031" y="1472327"/>
              </a:lnTo>
              <a:lnTo>
                <a:pt x="944436" y="1516691"/>
              </a:lnTo>
              <a:lnTo>
                <a:pt x="935816" y="1561397"/>
              </a:lnTo>
              <a:lnTo>
                <a:pt x="927343" y="1606208"/>
              </a:lnTo>
              <a:lnTo>
                <a:pt x="919008" y="1651383"/>
              </a:lnTo>
              <a:lnTo>
                <a:pt x="910739" y="1696942"/>
              </a:lnTo>
              <a:lnTo>
                <a:pt x="902609" y="1742286"/>
              </a:lnTo>
              <a:lnTo>
                <a:pt x="894693" y="1786820"/>
              </a:lnTo>
              <a:lnTo>
                <a:pt x="886959" y="1830667"/>
              </a:lnTo>
              <a:lnTo>
                <a:pt x="879385" y="1874051"/>
              </a:lnTo>
              <a:lnTo>
                <a:pt x="872059" y="1916525"/>
              </a:lnTo>
              <a:lnTo>
                <a:pt x="865071" y="1957640"/>
              </a:lnTo>
              <a:lnTo>
                <a:pt x="858471" y="1997432"/>
              </a:lnTo>
              <a:lnTo>
                <a:pt x="852203" y="2036088"/>
              </a:lnTo>
              <a:lnTo>
                <a:pt x="846195" y="2073387"/>
              </a:lnTo>
              <a:lnTo>
                <a:pt x="840378" y="2109106"/>
              </a:lnTo>
              <a:lnTo>
                <a:pt x="834695" y="2143320"/>
              </a:lnTo>
              <a:lnTo>
                <a:pt x="829195" y="2176103"/>
              </a:lnTo>
              <a:lnTo>
                <a:pt x="823969" y="2207233"/>
              </a:lnTo>
              <a:lnTo>
                <a:pt x="819106" y="2236485"/>
              </a:lnTo>
              <a:lnTo>
                <a:pt x="814657" y="2263803"/>
              </a:lnTo>
              <a:lnTo>
                <a:pt x="810565" y="2289305"/>
              </a:lnTo>
              <a:lnTo>
                <a:pt x="806758" y="2313032"/>
              </a:lnTo>
              <a:lnTo>
                <a:pt x="799755" y="2355329"/>
              </a:lnTo>
              <a:lnTo>
                <a:pt x="790967" y="2405639"/>
              </a:lnTo>
              <a:lnTo>
                <a:pt x="782724" y="2447041"/>
              </a:lnTo>
              <a:lnTo>
                <a:pt x="778790" y="2457801"/>
              </a:lnTo>
              <a:lnTo>
                <a:pt x="777857" y="2455460"/>
              </a:lnTo>
              <a:lnTo>
                <a:pt x="776924" y="2453119"/>
              </a:lnTo>
              <a:lnTo>
                <a:pt x="777004" y="2445660"/>
              </a:lnTo>
              <a:lnTo>
                <a:pt x="777126" y="2432995"/>
              </a:lnTo>
              <a:lnTo>
                <a:pt x="777317" y="2422517"/>
              </a:lnTo>
              <a:lnTo>
                <a:pt x="777667" y="2410093"/>
              </a:lnTo>
              <a:lnTo>
                <a:pt x="778111" y="2395738"/>
              </a:lnTo>
              <a:lnTo>
                <a:pt x="778588" y="2379467"/>
              </a:lnTo>
              <a:lnTo>
                <a:pt x="779029" y="2361346"/>
              </a:lnTo>
              <a:lnTo>
                <a:pt x="779485" y="2341347"/>
              </a:lnTo>
              <a:lnTo>
                <a:pt x="780069" y="2319343"/>
              </a:lnTo>
              <a:lnTo>
                <a:pt x="780897" y="2295206"/>
              </a:lnTo>
              <a:lnTo>
                <a:pt x="782046" y="2269117"/>
              </a:lnTo>
              <a:lnTo>
                <a:pt x="783440" y="2241074"/>
              </a:lnTo>
              <a:lnTo>
                <a:pt x="784958" y="2210670"/>
              </a:lnTo>
              <a:lnTo>
                <a:pt x="786479" y="2177502"/>
              </a:lnTo>
              <a:lnTo>
                <a:pt x="789616" y="2102290"/>
              </a:lnTo>
              <a:lnTo>
                <a:pt x="791216" y="2060958"/>
              </a:lnTo>
              <a:lnTo>
                <a:pt x="792748" y="2017724"/>
              </a:lnTo>
              <a:lnTo>
                <a:pt x="794217" y="1972536"/>
              </a:lnTo>
              <a:lnTo>
                <a:pt x="795649" y="1925216"/>
              </a:lnTo>
              <a:lnTo>
                <a:pt x="797018" y="1876017"/>
              </a:lnTo>
              <a:lnTo>
                <a:pt x="798296" y="1825190"/>
              </a:lnTo>
              <a:lnTo>
                <a:pt x="799443" y="1772454"/>
              </a:lnTo>
              <a:lnTo>
                <a:pt x="800484" y="1717789"/>
              </a:lnTo>
              <a:lnTo>
                <a:pt x="801492" y="1661845"/>
              </a:lnTo>
              <a:lnTo>
                <a:pt x="802539" y="1605268"/>
              </a:lnTo>
              <a:lnTo>
                <a:pt x="803406" y="1559482"/>
              </a:lnTo>
              <a:lnTo>
                <a:pt x="804271" y="1512979"/>
              </a:lnTo>
              <a:lnTo>
                <a:pt x="805151" y="1466021"/>
              </a:lnTo>
              <a:lnTo>
                <a:pt x="806065" y="1418866"/>
              </a:lnTo>
              <a:lnTo>
                <a:pt x="807030" y="1371776"/>
              </a:lnTo>
              <a:lnTo>
                <a:pt x="808017" y="1324475"/>
              </a:lnTo>
              <a:lnTo>
                <a:pt x="809014" y="1276788"/>
              </a:lnTo>
              <a:lnTo>
                <a:pt x="810064" y="1229130"/>
              </a:lnTo>
              <a:lnTo>
                <a:pt x="811213" y="1181914"/>
              </a:lnTo>
              <a:lnTo>
                <a:pt x="812502" y="1135553"/>
              </a:lnTo>
              <a:lnTo>
                <a:pt x="814297" y="1078504"/>
              </a:lnTo>
              <a:lnTo>
                <a:pt x="816261" y="1022187"/>
              </a:lnTo>
              <a:lnTo>
                <a:pt x="818414" y="967121"/>
              </a:lnTo>
              <a:lnTo>
                <a:pt x="820776" y="913820"/>
              </a:lnTo>
              <a:lnTo>
                <a:pt x="823434" y="862306"/>
              </a:lnTo>
              <a:lnTo>
                <a:pt x="826349" y="812342"/>
              </a:lnTo>
              <a:lnTo>
                <a:pt x="829356" y="764059"/>
              </a:lnTo>
              <a:lnTo>
                <a:pt x="832285" y="717587"/>
              </a:lnTo>
              <a:lnTo>
                <a:pt x="835112" y="672763"/>
              </a:lnTo>
              <a:lnTo>
                <a:pt x="837920" y="629584"/>
              </a:lnTo>
              <a:lnTo>
                <a:pt x="840703" y="588420"/>
              </a:lnTo>
              <a:lnTo>
                <a:pt x="843457" y="549643"/>
              </a:lnTo>
              <a:lnTo>
                <a:pt x="848974" y="479287"/>
              </a:lnTo>
              <a:lnTo>
                <a:pt x="854180" y="417913"/>
              </a:lnTo>
              <a:lnTo>
                <a:pt x="858802" y="365607"/>
              </a:lnTo>
              <a:lnTo>
                <a:pt x="862857" y="321824"/>
              </a:lnTo>
              <a:lnTo>
                <a:pt x="867711" y="270810"/>
              </a:lnTo>
              <a:lnTo>
                <a:pt x="872914" y="231510"/>
              </a:lnTo>
              <a:lnTo>
                <a:pt x="873635" y="228844"/>
              </a:lnTo>
              <a:lnTo>
                <a:pt x="874592" y="232625"/>
              </a:lnTo>
              <a:lnTo>
                <a:pt x="868226" y="274467"/>
              </a:lnTo>
              <a:lnTo>
                <a:pt x="865537" y="289414"/>
              </a:lnTo>
              <a:lnTo>
                <a:pt x="862496" y="306353"/>
              </a:lnTo>
              <a:lnTo>
                <a:pt x="854978" y="346390"/>
              </a:lnTo>
              <a:lnTo>
                <a:pt x="844139" y="394427"/>
              </a:lnTo>
              <a:lnTo>
                <a:pt x="829981" y="450465"/>
              </a:lnTo>
              <a:lnTo>
                <a:pt x="813454" y="514322"/>
              </a:lnTo>
              <a:lnTo>
                <a:pt x="794559" y="585998"/>
              </a:lnTo>
              <a:lnTo>
                <a:pt x="784350" y="624351"/>
              </a:lnTo>
              <a:lnTo>
                <a:pt x="773541" y="664476"/>
              </a:lnTo>
              <a:lnTo>
                <a:pt x="762140" y="706407"/>
              </a:lnTo>
              <a:lnTo>
                <a:pt x="750399" y="749757"/>
              </a:lnTo>
              <a:lnTo>
                <a:pt x="738569" y="794139"/>
              </a:lnTo>
              <a:lnTo>
                <a:pt x="726694" y="839734"/>
              </a:lnTo>
              <a:lnTo>
                <a:pt x="714648" y="886654"/>
              </a:lnTo>
              <a:lnTo>
                <a:pt x="702426" y="934407"/>
              </a:lnTo>
              <a:lnTo>
                <a:pt x="690024" y="982498"/>
              </a:lnTo>
              <a:lnTo>
                <a:pt x="677393" y="1031076"/>
              </a:lnTo>
              <a:lnTo>
                <a:pt x="664552" y="1080311"/>
              </a:lnTo>
              <a:lnTo>
                <a:pt x="651596" y="1129741"/>
              </a:lnTo>
              <a:lnTo>
                <a:pt x="638624" y="1178903"/>
              </a:lnTo>
              <a:lnTo>
                <a:pt x="625509" y="1228017"/>
              </a:lnTo>
              <a:lnTo>
                <a:pt x="612250" y="1277215"/>
              </a:lnTo>
              <a:lnTo>
                <a:pt x="599129" y="1325902"/>
              </a:lnTo>
              <a:lnTo>
                <a:pt x="586430" y="1373482"/>
              </a:lnTo>
              <a:lnTo>
                <a:pt x="574150" y="1419982"/>
              </a:lnTo>
              <a:lnTo>
                <a:pt x="562164" y="1465660"/>
              </a:lnTo>
              <a:lnTo>
                <a:pt x="550571" y="1510255"/>
              </a:lnTo>
              <a:lnTo>
                <a:pt x="539472" y="1553511"/>
              </a:lnTo>
              <a:lnTo>
                <a:pt x="528848" y="1595521"/>
              </a:lnTo>
              <a:lnTo>
                <a:pt x="518662" y="1636368"/>
              </a:lnTo>
              <a:lnTo>
                <a:pt x="508981" y="1675779"/>
              </a:lnTo>
              <a:lnTo>
                <a:pt x="499872" y="1713481"/>
              </a:lnTo>
              <a:lnTo>
                <a:pt x="483417" y="1784071"/>
              </a:lnTo>
              <a:lnTo>
                <a:pt x="469062" y="1847567"/>
              </a:lnTo>
              <a:lnTo>
                <a:pt x="456670" y="1903061"/>
              </a:lnTo>
              <a:lnTo>
                <a:pt x="446265" y="1950776"/>
              </a:lnTo>
              <a:lnTo>
                <a:pt x="437909" y="1990301"/>
              </a:lnTo>
              <a:lnTo>
                <a:pt x="428598" y="2036540"/>
              </a:lnTo>
              <a:lnTo>
                <a:pt x="421415" y="2078550"/>
              </a:lnTo>
              <a:lnTo>
                <a:pt x="421345" y="2084023"/>
              </a:lnTo>
              <a:lnTo>
                <a:pt x="422385" y="2084776"/>
              </a:lnTo>
              <a:lnTo>
                <a:pt x="423424" y="2085529"/>
              </a:lnTo>
              <a:lnTo>
                <a:pt x="439020" y="2043713"/>
              </a:lnTo>
              <a:lnTo>
                <a:pt x="453409" y="1998943"/>
              </a:lnTo>
              <a:lnTo>
                <a:pt x="465149" y="1961062"/>
              </a:lnTo>
              <a:lnTo>
                <a:pt x="478011" y="1917855"/>
              </a:lnTo>
              <a:lnTo>
                <a:pt x="492053" y="1868670"/>
              </a:lnTo>
              <a:lnTo>
                <a:pt x="507229" y="1813437"/>
              </a:lnTo>
              <a:lnTo>
                <a:pt x="523379" y="1751369"/>
              </a:lnTo>
              <a:lnTo>
                <a:pt x="540475" y="1680679"/>
              </a:lnTo>
              <a:lnTo>
                <a:pt x="549275" y="1642871"/>
              </a:lnTo>
              <a:lnTo>
                <a:pt x="558073" y="1604293"/>
              </a:lnTo>
              <a:lnTo>
                <a:pt x="566844" y="1564904"/>
              </a:lnTo>
              <a:lnTo>
                <a:pt x="575653" y="1524426"/>
              </a:lnTo>
              <a:lnTo>
                <a:pt x="584508" y="1483162"/>
              </a:lnTo>
              <a:lnTo>
                <a:pt x="593415" y="1441412"/>
              </a:lnTo>
              <a:lnTo>
                <a:pt x="602453" y="1399039"/>
              </a:lnTo>
              <a:lnTo>
                <a:pt x="611592" y="1355953"/>
              </a:lnTo>
              <a:lnTo>
                <a:pt x="620679" y="1312534"/>
              </a:lnTo>
              <a:lnTo>
                <a:pt x="629557" y="1269157"/>
              </a:lnTo>
              <a:lnTo>
                <a:pt x="638268" y="1225559"/>
              </a:lnTo>
              <a:lnTo>
                <a:pt x="646867" y="1181659"/>
              </a:lnTo>
              <a:lnTo>
                <a:pt x="655221" y="1138114"/>
              </a:lnTo>
              <a:lnTo>
                <a:pt x="663196" y="1095578"/>
              </a:lnTo>
              <a:lnTo>
                <a:pt x="670744" y="1054045"/>
              </a:lnTo>
              <a:lnTo>
                <a:pt x="677940" y="1013228"/>
              </a:lnTo>
              <a:lnTo>
                <a:pt x="684837" y="973352"/>
              </a:lnTo>
              <a:lnTo>
                <a:pt x="691485" y="934643"/>
              </a:lnTo>
              <a:lnTo>
                <a:pt x="697903" y="897002"/>
              </a:lnTo>
              <a:lnTo>
                <a:pt x="709943" y="824998"/>
              </a:lnTo>
              <a:lnTo>
                <a:pt x="720814" y="758857"/>
              </a:lnTo>
              <a:lnTo>
                <a:pt x="730515" y="698578"/>
              </a:lnTo>
              <a:lnTo>
                <a:pt x="734992" y="671145"/>
              </a:lnTo>
              <a:lnTo>
                <a:pt x="743269" y="621376"/>
              </a:lnTo>
              <a:lnTo>
                <a:pt x="750470" y="579970"/>
              </a:lnTo>
              <a:lnTo>
                <a:pt x="759240" y="536341"/>
              </a:lnTo>
              <a:lnTo>
                <a:pt x="764885" y="512556"/>
              </a:lnTo>
              <a:lnTo>
                <a:pt x="764783" y="514705"/>
              </a:lnTo>
              <a:lnTo>
                <a:pt x="756305" y="563808"/>
              </a:lnTo>
              <a:lnTo>
                <a:pt x="746691" y="613819"/>
              </a:lnTo>
              <a:lnTo>
                <a:pt x="738244" y="656266"/>
              </a:lnTo>
              <a:lnTo>
                <a:pt x="733689" y="679308"/>
              </a:lnTo>
              <a:lnTo>
                <a:pt x="723920" y="728995"/>
              </a:lnTo>
              <a:lnTo>
                <a:pt x="713511" y="782753"/>
              </a:lnTo>
              <a:lnTo>
                <a:pt x="702751" y="839346"/>
              </a:lnTo>
              <a:lnTo>
                <a:pt x="691751" y="899375"/>
              </a:lnTo>
              <a:lnTo>
                <a:pt x="680805" y="963672"/>
              </a:lnTo>
              <a:lnTo>
                <a:pt x="675279" y="996928"/>
              </a:lnTo>
              <a:lnTo>
                <a:pt x="669658" y="1030299"/>
              </a:lnTo>
              <a:lnTo>
                <a:pt x="663866" y="1063842"/>
              </a:lnTo>
              <a:lnTo>
                <a:pt x="657948" y="1097746"/>
              </a:lnTo>
              <a:lnTo>
                <a:pt x="652043" y="1131741"/>
              </a:lnTo>
              <a:lnTo>
                <a:pt x="640690" y="1199258"/>
              </a:lnTo>
              <a:lnTo>
                <a:pt x="629808" y="1266395"/>
              </a:lnTo>
              <a:lnTo>
                <a:pt x="619682" y="1332089"/>
              </a:lnTo>
              <a:lnTo>
                <a:pt x="610310" y="1396341"/>
              </a:lnTo>
              <a:lnTo>
                <a:pt x="601669" y="1458651"/>
              </a:lnTo>
              <a:lnTo>
                <a:pt x="593759" y="1519018"/>
              </a:lnTo>
              <a:lnTo>
                <a:pt x="586925" y="1574714"/>
              </a:lnTo>
              <a:lnTo>
                <a:pt x="581166" y="1625737"/>
              </a:lnTo>
              <a:lnTo>
                <a:pt x="576359" y="1671567"/>
              </a:lnTo>
              <a:lnTo>
                <a:pt x="572504" y="1712206"/>
              </a:lnTo>
              <a:lnTo>
                <a:pt x="569995" y="1757420"/>
              </a:lnTo>
              <a:lnTo>
                <a:pt x="569976" y="1768345"/>
              </a:lnTo>
              <a:lnTo>
                <a:pt x="570249" y="1777242"/>
              </a:lnTo>
              <a:lnTo>
                <a:pt x="570778" y="1787752"/>
              </a:lnTo>
              <a:lnTo>
                <a:pt x="572145" y="1792741"/>
              </a:lnTo>
              <a:lnTo>
                <a:pt x="574359" y="1792542"/>
              </a:lnTo>
              <a:lnTo>
                <a:pt x="576574" y="1792344"/>
              </a:lnTo>
              <a:lnTo>
                <a:pt x="592013" y="1746299"/>
              </a:lnTo>
              <a:lnTo>
                <a:pt x="602953" y="1703220"/>
              </a:lnTo>
              <a:lnTo>
                <a:pt x="615457" y="1651088"/>
              </a:lnTo>
              <a:lnTo>
                <a:pt x="624076" y="1613505"/>
              </a:lnTo>
              <a:lnTo>
                <a:pt x="632013" y="1575868"/>
              </a:lnTo>
              <a:lnTo>
                <a:pt x="639268" y="1538178"/>
              </a:lnTo>
              <a:lnTo>
                <a:pt x="649177" y="1485235"/>
              </a:lnTo>
              <a:lnTo>
                <a:pt x="652234" y="1468684"/>
              </a:lnTo>
              <a:lnTo>
                <a:pt x="660951" y="1424644"/>
              </a:lnTo>
              <a:lnTo>
                <a:pt x="666179" y="1399693"/>
              </a:lnTo>
              <a:lnTo>
                <a:pt x="668514" y="1388472"/>
              </a:lnTo>
              <a:lnTo>
                <a:pt x="676852" y="1350626"/>
              </a:lnTo>
              <a:lnTo>
                <a:pt x="680139" y="1340070"/>
              </a:lnTo>
              <a:lnTo>
                <a:pt x="681623" y="1336453"/>
              </a:lnTo>
              <a:lnTo>
                <a:pt x="682620" y="1335732"/>
              </a:lnTo>
              <a:lnTo>
                <a:pt x="683431" y="1338860"/>
              </a:lnTo>
              <a:lnTo>
                <a:pt x="684242" y="1341988"/>
              </a:lnTo>
              <a:lnTo>
                <a:pt x="685409" y="1385048"/>
              </a:lnTo>
              <a:lnTo>
                <a:pt x="685452" y="1407405"/>
              </a:lnTo>
              <a:lnTo>
                <a:pt x="685410" y="1420078"/>
              </a:lnTo>
              <a:lnTo>
                <a:pt x="685338" y="1433589"/>
              </a:lnTo>
              <a:lnTo>
                <a:pt x="685255" y="1447776"/>
              </a:lnTo>
              <a:lnTo>
                <a:pt x="685194" y="1462662"/>
              </a:lnTo>
              <a:lnTo>
                <a:pt x="684774" y="1511506"/>
              </a:lnTo>
              <a:lnTo>
                <a:pt x="683224" y="1565899"/>
              </a:lnTo>
              <a:lnTo>
                <a:pt x="681980" y="1604130"/>
              </a:lnTo>
              <a:lnTo>
                <a:pt x="680629" y="1643730"/>
              </a:lnTo>
              <a:lnTo>
                <a:pt x="679974" y="1663436"/>
              </a:lnTo>
              <a:lnTo>
                <a:pt x="678716" y="1702655"/>
              </a:lnTo>
              <a:lnTo>
                <a:pt x="677549" y="1741049"/>
              </a:lnTo>
              <a:lnTo>
                <a:pt x="676065" y="1795911"/>
              </a:lnTo>
              <a:lnTo>
                <a:pt x="674911" y="1845499"/>
              </a:lnTo>
              <a:lnTo>
                <a:pt x="674318" y="1874909"/>
              </a:lnTo>
              <a:lnTo>
                <a:pt x="673994" y="1888287"/>
              </a:lnTo>
              <a:lnTo>
                <a:pt x="673654" y="1900860"/>
              </a:lnTo>
              <a:lnTo>
                <a:pt x="673444" y="1912422"/>
              </a:lnTo>
              <a:lnTo>
                <a:pt x="673510" y="1922767"/>
              </a:lnTo>
              <a:lnTo>
                <a:pt x="681289" y="1958302"/>
              </a:lnTo>
              <a:lnTo>
                <a:pt x="685370" y="1954590"/>
              </a:lnTo>
              <a:lnTo>
                <a:pt x="705576" y="1920293"/>
              </a:lnTo>
              <a:lnTo>
                <a:pt x="721733" y="1883139"/>
              </a:lnTo>
              <a:lnTo>
                <a:pt x="740042" y="1835079"/>
              </a:lnTo>
              <a:lnTo>
                <a:pt x="753623" y="1797587"/>
              </a:lnTo>
              <a:lnTo>
                <a:pt x="768327" y="1755855"/>
              </a:lnTo>
              <a:lnTo>
                <a:pt x="775869" y="1734478"/>
              </a:lnTo>
              <a:lnTo>
                <a:pt x="783634" y="1712752"/>
              </a:lnTo>
              <a:lnTo>
                <a:pt x="791624" y="1690510"/>
              </a:lnTo>
              <a:lnTo>
                <a:pt x="799544" y="1668278"/>
              </a:lnTo>
              <a:lnTo>
                <a:pt x="814251" y="1625393"/>
              </a:lnTo>
              <a:lnTo>
                <a:pt x="827755" y="1584097"/>
              </a:lnTo>
              <a:lnTo>
                <a:pt x="839953" y="1545372"/>
              </a:lnTo>
              <a:lnTo>
                <a:pt x="850846" y="1509217"/>
              </a:lnTo>
              <a:lnTo>
                <a:pt x="855856" y="1492618"/>
              </a:lnTo>
              <a:lnTo>
                <a:pt x="860602" y="1476902"/>
              </a:lnTo>
              <a:lnTo>
                <a:pt x="865067" y="1462019"/>
              </a:lnTo>
              <a:lnTo>
                <a:pt x="869223" y="1448426"/>
              </a:lnTo>
              <a:lnTo>
                <a:pt x="882677" y="1411254"/>
              </a:lnTo>
              <a:lnTo>
                <a:pt x="888727" y="1399685"/>
              </a:lnTo>
              <a:lnTo>
                <a:pt x="889034" y="1401567"/>
              </a:lnTo>
              <a:lnTo>
                <a:pt x="889341" y="1403450"/>
              </a:lnTo>
              <a:lnTo>
                <a:pt x="888292" y="1409496"/>
              </a:lnTo>
              <a:lnTo>
                <a:pt x="880248" y="1448679"/>
              </a:lnTo>
              <a:lnTo>
                <a:pt x="869358" y="1492178"/>
              </a:lnTo>
              <a:lnTo>
                <a:pt x="854923" y="1540848"/>
              </a:lnTo>
              <a:lnTo>
                <a:pt x="843378" y="1578147"/>
              </a:lnTo>
              <a:lnTo>
                <a:pt x="831916" y="1614049"/>
              </a:lnTo>
              <a:lnTo>
                <a:pt x="828202" y="1625551"/>
              </a:lnTo>
              <a:lnTo>
                <a:pt x="824697" y="1636617"/>
              </a:lnTo>
              <a:lnTo>
                <a:pt x="821442" y="1647274"/>
              </a:lnTo>
              <a:lnTo>
                <a:pt x="818377" y="1657574"/>
              </a:lnTo>
              <a:lnTo>
                <a:pt x="815455" y="1667422"/>
              </a:lnTo>
              <a:lnTo>
                <a:pt x="812632" y="1676718"/>
              </a:lnTo>
              <a:lnTo>
                <a:pt x="809881" y="1685437"/>
              </a:lnTo>
              <a:lnTo>
                <a:pt x="807232" y="1693632"/>
              </a:lnTo>
              <a:lnTo>
                <a:pt x="804722" y="1701319"/>
              </a:lnTo>
              <a:lnTo>
                <a:pt x="802391" y="1708516"/>
              </a:lnTo>
              <a:lnTo>
                <a:pt x="799419" y="1717793"/>
              </a:lnTo>
              <a:lnTo>
                <a:pt x="796895" y="1726572"/>
              </a:lnTo>
              <a:lnTo>
                <a:pt x="794802" y="1732378"/>
              </a:lnTo>
              <a:lnTo>
                <a:pt x="792708" y="1738185"/>
              </a:lnTo>
              <a:lnTo>
                <a:pt x="790858" y="1741892"/>
              </a:lnTo>
              <a:lnTo>
                <a:pt x="789829" y="1743356"/>
              </a:lnTo>
              <a:lnTo>
                <a:pt x="788801" y="1744820"/>
              </a:lnTo>
              <a:lnTo>
                <a:pt x="788682" y="1744010"/>
              </a:lnTo>
              <a:lnTo>
                <a:pt x="788631" y="1741165"/>
              </a:lnTo>
              <a:lnTo>
                <a:pt x="788580" y="1738319"/>
              </a:lnTo>
              <a:lnTo>
                <a:pt x="788807" y="1732688"/>
              </a:lnTo>
              <a:lnTo>
                <a:pt x="789524" y="1726281"/>
              </a:lnTo>
              <a:lnTo>
                <a:pt x="790241" y="1719874"/>
              </a:lnTo>
              <a:lnTo>
                <a:pt x="791683" y="1710900"/>
              </a:lnTo>
              <a:lnTo>
                <a:pt x="792931" y="1702722"/>
              </a:lnTo>
              <a:lnTo>
                <a:pt x="793913" y="1696440"/>
              </a:lnTo>
              <a:lnTo>
                <a:pt x="794954" y="1689979"/>
              </a:lnTo>
              <a:lnTo>
                <a:pt x="796004" y="1683510"/>
              </a:lnTo>
              <a:lnTo>
                <a:pt x="797017" y="1677209"/>
              </a:lnTo>
              <a:lnTo>
                <a:pt x="798319" y="1668995"/>
              </a:lnTo>
              <a:lnTo>
                <a:pt x="799638" y="1659192"/>
              </a:lnTo>
              <a:lnTo>
                <a:pt x="800746" y="1653437"/>
              </a:lnTo>
              <a:lnTo>
                <a:pt x="801854" y="1647682"/>
              </a:lnTo>
              <a:lnTo>
                <a:pt x="802842" y="1643524"/>
              </a:lnTo>
              <a:lnTo>
                <a:pt x="803664" y="1642677"/>
              </a:lnTo>
              <a:lnTo>
                <a:pt x="804487" y="1641830"/>
              </a:lnTo>
              <a:lnTo>
                <a:pt x="805411" y="1644442"/>
              </a:lnTo>
              <a:lnTo>
                <a:pt x="805680" y="1648352"/>
              </a:lnTo>
              <a:lnTo>
                <a:pt x="805950" y="1652263"/>
              </a:lnTo>
              <a:lnTo>
                <a:pt x="805875" y="1658356"/>
              </a:lnTo>
              <a:lnTo>
                <a:pt x="800618" y="1703317"/>
              </a:lnTo>
              <a:lnTo>
                <a:pt x="790843" y="1746357"/>
              </a:lnTo>
              <a:lnTo>
                <a:pt x="788790" y="1754574"/>
              </a:lnTo>
              <a:lnTo>
                <a:pt x="786825" y="1762446"/>
              </a:lnTo>
              <a:lnTo>
                <a:pt x="784907" y="1770080"/>
              </a:lnTo>
              <a:lnTo>
                <a:pt x="783012" y="1777507"/>
              </a:lnTo>
              <a:lnTo>
                <a:pt x="781252" y="1784462"/>
              </a:lnTo>
              <a:lnTo>
                <a:pt x="779734" y="1790678"/>
              </a:lnTo>
              <a:lnTo>
                <a:pt x="777922" y="1798355"/>
              </a:lnTo>
              <a:lnTo>
                <a:pt x="776559" y="1804747"/>
              </a:lnTo>
              <a:lnTo>
                <a:pt x="775951" y="1808510"/>
              </a:lnTo>
              <a:lnTo>
                <a:pt x="775343" y="1812271"/>
              </a:lnTo>
              <a:lnTo>
                <a:pt x="775449" y="1814515"/>
              </a:lnTo>
              <a:lnTo>
                <a:pt x="776087" y="1813250"/>
              </a:lnTo>
              <a:lnTo>
                <a:pt x="776725" y="1811985"/>
              </a:lnTo>
              <a:lnTo>
                <a:pt x="784313" y="1779700"/>
              </a:lnTo>
              <a:lnTo>
                <a:pt x="786242" y="1770806"/>
              </a:lnTo>
              <a:lnTo>
                <a:pt x="788491" y="1760990"/>
              </a:lnTo>
              <a:lnTo>
                <a:pt x="791014" y="1750211"/>
              </a:lnTo>
              <a:lnTo>
                <a:pt x="793649" y="1738829"/>
              </a:lnTo>
              <a:lnTo>
                <a:pt x="803894" y="1690232"/>
              </a:lnTo>
              <a:lnTo>
                <a:pt x="812662" y="1640693"/>
              </a:lnTo>
              <a:lnTo>
                <a:pt x="814673" y="1629004"/>
              </a:lnTo>
              <a:lnTo>
                <a:pt x="816691" y="1617854"/>
              </a:lnTo>
              <a:lnTo>
                <a:pt x="818685" y="1607110"/>
              </a:lnTo>
              <a:lnTo>
                <a:pt x="820607" y="1596864"/>
              </a:lnTo>
              <a:lnTo>
                <a:pt x="822411" y="1587211"/>
              </a:lnTo>
              <a:lnTo>
                <a:pt x="824095" y="1578027"/>
              </a:lnTo>
              <a:lnTo>
                <a:pt x="825680" y="1569311"/>
              </a:lnTo>
              <a:lnTo>
                <a:pt x="827156" y="1561341"/>
              </a:lnTo>
              <a:lnTo>
                <a:pt x="828513" y="1554398"/>
              </a:lnTo>
              <a:lnTo>
                <a:pt x="830237" y="1545949"/>
              </a:lnTo>
              <a:lnTo>
                <a:pt x="831619" y="1539914"/>
              </a:lnTo>
              <a:lnTo>
                <a:pt x="832759" y="1536514"/>
              </a:lnTo>
              <a:lnTo>
                <a:pt x="833899" y="1533113"/>
              </a:lnTo>
              <a:lnTo>
                <a:pt x="834971" y="1533211"/>
              </a:lnTo>
              <a:lnTo>
                <a:pt x="835355" y="1533993"/>
              </a:lnTo>
              <a:lnTo>
                <a:pt x="835739" y="1534776"/>
              </a:lnTo>
              <a:lnTo>
                <a:pt x="835394" y="1537654"/>
              </a:lnTo>
              <a:lnTo>
                <a:pt x="835064" y="1541204"/>
              </a:lnTo>
              <a:lnTo>
                <a:pt x="834735" y="1544755"/>
              </a:lnTo>
              <a:lnTo>
                <a:pt x="834280" y="1550154"/>
              </a:lnTo>
              <a:lnTo>
                <a:pt x="833380" y="1555295"/>
              </a:lnTo>
              <a:lnTo>
                <a:pt x="832480" y="1560436"/>
              </a:lnTo>
              <a:lnTo>
                <a:pt x="830966" y="1566448"/>
              </a:lnTo>
              <a:lnTo>
                <a:pt x="829663" y="1572050"/>
              </a:lnTo>
              <a:lnTo>
                <a:pt x="828361" y="1577652"/>
              </a:lnTo>
              <a:lnTo>
                <a:pt x="826846" y="1583488"/>
              </a:lnTo>
              <a:lnTo>
                <a:pt x="825563" y="1588909"/>
              </a:lnTo>
              <a:lnTo>
                <a:pt x="824281" y="1594330"/>
              </a:lnTo>
              <a:lnTo>
                <a:pt x="823023" y="1599355"/>
              </a:lnTo>
              <a:lnTo>
                <a:pt x="821968" y="1604574"/>
              </a:lnTo>
              <a:lnTo>
                <a:pt x="820914" y="1609792"/>
              </a:lnTo>
              <a:lnTo>
                <a:pt x="820538" y="1614368"/>
              </a:lnTo>
              <a:lnTo>
                <a:pt x="819237" y="1620219"/>
              </a:lnTo>
              <a:lnTo>
                <a:pt x="808459" y="1655042"/>
              </a:lnTo>
              <a:lnTo>
                <a:pt x="805532" y="1662588"/>
              </a:lnTo>
              <a:lnTo>
                <a:pt x="802604" y="1670135"/>
              </a:lnTo>
              <a:lnTo>
                <a:pt x="799887" y="1677639"/>
              </a:lnTo>
              <a:lnTo>
                <a:pt x="796595" y="1684956"/>
              </a:lnTo>
              <a:lnTo>
                <a:pt x="793303" y="1692272"/>
              </a:lnTo>
              <a:lnTo>
                <a:pt x="789236" y="1699720"/>
              </a:lnTo>
              <a:lnTo>
                <a:pt x="785781" y="1706488"/>
              </a:lnTo>
              <a:lnTo>
                <a:pt x="782327" y="1713255"/>
              </a:lnTo>
              <a:lnTo>
                <a:pt x="778816" y="1719679"/>
              </a:lnTo>
              <a:lnTo>
                <a:pt x="775868" y="1725562"/>
              </a:lnTo>
              <a:lnTo>
                <a:pt x="772919" y="1731444"/>
              </a:lnTo>
              <a:lnTo>
                <a:pt x="770284" y="1737343"/>
              </a:lnTo>
              <a:lnTo>
                <a:pt x="768089" y="1741783"/>
              </a:lnTo>
              <a:lnTo>
                <a:pt x="765895" y="1746224"/>
              </a:lnTo>
              <a:lnTo>
                <a:pt x="764145" y="1750318"/>
              </a:lnTo>
              <a:lnTo>
                <a:pt x="762701" y="1752203"/>
              </a:lnTo>
              <a:lnTo>
                <a:pt x="761256" y="1754087"/>
              </a:lnTo>
              <a:lnTo>
                <a:pt x="760247" y="1754152"/>
              </a:lnTo>
              <a:lnTo>
                <a:pt x="759423" y="1753088"/>
              </a:lnTo>
              <a:lnTo>
                <a:pt x="758600" y="1752024"/>
              </a:lnTo>
              <a:lnTo>
                <a:pt x="757183" y="1732462"/>
              </a:lnTo>
              <a:lnTo>
                <a:pt x="757098" y="1727612"/>
              </a:lnTo>
              <a:lnTo>
                <a:pt x="757446" y="1721448"/>
              </a:lnTo>
              <a:lnTo>
                <a:pt x="757250" y="1716716"/>
              </a:lnTo>
              <a:lnTo>
                <a:pt x="757054" y="1711985"/>
              </a:lnTo>
              <a:lnTo>
                <a:pt x="749119" y="1697301"/>
              </a:lnTo>
              <a:lnTo>
                <a:pt x="747298" y="1698724"/>
              </a:lnTo>
              <a:lnTo>
                <a:pt x="745477" y="1700148"/>
              </a:lnTo>
              <a:lnTo>
                <a:pt x="743738" y="1703491"/>
              </a:lnTo>
              <a:lnTo>
                <a:pt x="741771" y="1706910"/>
              </a:lnTo>
              <a:lnTo>
                <a:pt x="739805" y="1710329"/>
              </a:lnTo>
              <a:lnTo>
                <a:pt x="737745" y="1714863"/>
              </a:lnTo>
              <a:lnTo>
                <a:pt x="735500" y="1719239"/>
              </a:lnTo>
              <a:lnTo>
                <a:pt x="733254" y="1723614"/>
              </a:lnTo>
              <a:lnTo>
                <a:pt x="730574" y="1728513"/>
              </a:lnTo>
              <a:lnTo>
                <a:pt x="728301" y="1733163"/>
              </a:lnTo>
              <a:lnTo>
                <a:pt x="726028" y="1737813"/>
              </a:lnTo>
              <a:lnTo>
                <a:pt x="723762" y="1743142"/>
              </a:lnTo>
              <a:lnTo>
                <a:pt x="721862" y="1747139"/>
              </a:lnTo>
              <a:lnTo>
                <a:pt x="719962" y="1751135"/>
              </a:lnTo>
              <a:lnTo>
                <a:pt x="718289" y="1755233"/>
              </a:lnTo>
              <a:lnTo>
                <a:pt x="716898" y="1757143"/>
              </a:lnTo>
              <a:lnTo>
                <a:pt x="715507" y="1759054"/>
              </a:lnTo>
              <a:lnTo>
                <a:pt x="714415" y="1759680"/>
              </a:lnTo>
              <a:lnTo>
                <a:pt x="713515" y="1758602"/>
              </a:lnTo>
              <a:lnTo>
                <a:pt x="712615" y="1757525"/>
              </a:lnTo>
              <a:lnTo>
                <a:pt x="712000" y="1754688"/>
              </a:lnTo>
              <a:lnTo>
                <a:pt x="711498" y="1750680"/>
              </a:lnTo>
              <a:lnTo>
                <a:pt x="710997" y="1746672"/>
              </a:lnTo>
              <a:lnTo>
                <a:pt x="710724" y="1740696"/>
              </a:lnTo>
              <a:lnTo>
                <a:pt x="710507" y="1734553"/>
              </a:lnTo>
              <a:lnTo>
                <a:pt x="710290" y="1728411"/>
              </a:lnTo>
              <a:lnTo>
                <a:pt x="710235" y="1721071"/>
              </a:lnTo>
              <a:lnTo>
                <a:pt x="710197" y="1713826"/>
              </a:lnTo>
              <a:lnTo>
                <a:pt x="710159" y="1706581"/>
              </a:lnTo>
              <a:lnTo>
                <a:pt x="710222" y="1698457"/>
              </a:lnTo>
              <a:lnTo>
                <a:pt x="710281" y="1691082"/>
              </a:lnTo>
              <a:lnTo>
                <a:pt x="710339" y="1683707"/>
              </a:lnTo>
              <a:lnTo>
                <a:pt x="710450" y="1676302"/>
              </a:lnTo>
              <a:lnTo>
                <a:pt x="710547" y="1669576"/>
              </a:lnTo>
              <a:lnTo>
                <a:pt x="710643" y="1662850"/>
              </a:lnTo>
              <a:lnTo>
                <a:pt x="710760" y="1655714"/>
              </a:lnTo>
              <a:lnTo>
                <a:pt x="711224" y="1637995"/>
              </a:lnTo>
              <a:lnTo>
                <a:pt x="711298" y="1638629"/>
              </a:lnTo>
              <a:lnTo>
                <a:pt x="711359" y="1640817"/>
              </a:lnTo>
              <a:lnTo>
                <a:pt x="711421" y="1643005"/>
              </a:lnTo>
              <a:lnTo>
                <a:pt x="711740" y="1647689"/>
              </a:lnTo>
              <a:lnTo>
                <a:pt x="711510" y="1652774"/>
              </a:lnTo>
              <a:lnTo>
                <a:pt x="711280" y="1657860"/>
              </a:lnTo>
              <a:lnTo>
                <a:pt x="710586" y="1664312"/>
              </a:lnTo>
              <a:lnTo>
                <a:pt x="709979" y="1671332"/>
              </a:lnTo>
              <a:lnTo>
                <a:pt x="709373" y="1678352"/>
              </a:lnTo>
              <a:lnTo>
                <a:pt x="708561" y="1686751"/>
              </a:lnTo>
              <a:lnTo>
                <a:pt x="707869" y="1694895"/>
              </a:lnTo>
              <a:lnTo>
                <a:pt x="707177" y="1703039"/>
              </a:lnTo>
              <a:lnTo>
                <a:pt x="706444" y="1711794"/>
              </a:lnTo>
              <a:lnTo>
                <a:pt x="705827" y="1720195"/>
              </a:lnTo>
              <a:lnTo>
                <a:pt x="705210" y="1728596"/>
              </a:lnTo>
              <a:lnTo>
                <a:pt x="704911" y="1737661"/>
              </a:lnTo>
              <a:lnTo>
                <a:pt x="704167" y="1745303"/>
              </a:lnTo>
              <a:lnTo>
                <a:pt x="703422" y="1752945"/>
              </a:lnTo>
              <a:lnTo>
                <a:pt x="702040" y="1760084"/>
              </a:lnTo>
              <a:lnTo>
                <a:pt x="701358" y="1766047"/>
              </a:lnTo>
              <a:lnTo>
                <a:pt x="700676" y="1772010"/>
              </a:lnTo>
              <a:lnTo>
                <a:pt x="699799" y="1776971"/>
              </a:lnTo>
              <a:lnTo>
                <a:pt x="700075" y="1781081"/>
              </a:lnTo>
              <a:lnTo>
                <a:pt x="707213" y="1792847"/>
              </a:lnTo>
              <a:lnTo>
                <a:pt x="710804" y="1791129"/>
              </a:lnTo>
              <a:lnTo>
                <a:pt x="714395" y="1789411"/>
              </a:lnTo>
              <a:lnTo>
                <a:pt x="743821" y="1757817"/>
              </a:lnTo>
              <a:lnTo>
                <a:pt x="769576" y="1717688"/>
              </a:lnTo>
              <a:lnTo>
                <a:pt x="780727" y="1698402"/>
              </a:lnTo>
              <a:lnTo>
                <a:pt x="786495" y="1688428"/>
              </a:lnTo>
              <a:lnTo>
                <a:pt x="792437" y="1678262"/>
              </a:lnTo>
              <a:lnTo>
                <a:pt x="798537" y="1667838"/>
              </a:lnTo>
              <a:lnTo>
                <a:pt x="804705" y="1657269"/>
              </a:lnTo>
              <a:lnTo>
                <a:pt x="829497" y="1614269"/>
              </a:lnTo>
              <a:lnTo>
                <a:pt x="850986" y="1573518"/>
              </a:lnTo>
              <a:lnTo>
                <a:pt x="855711" y="1564338"/>
              </a:lnTo>
              <a:lnTo>
                <a:pt x="860218" y="1555663"/>
              </a:lnTo>
              <a:lnTo>
                <a:pt x="864495" y="1547424"/>
              </a:lnTo>
              <a:lnTo>
                <a:pt x="868501" y="1539897"/>
              </a:lnTo>
              <a:lnTo>
                <a:pt x="872197" y="1533359"/>
              </a:lnTo>
              <a:lnTo>
                <a:pt x="876901" y="1525423"/>
              </a:lnTo>
              <a:lnTo>
                <a:pt x="880750" y="1518443"/>
              </a:lnTo>
              <a:lnTo>
                <a:pt x="883934" y="1516727"/>
              </a:lnTo>
              <a:lnTo>
                <a:pt x="887118" y="1515010"/>
              </a:lnTo>
              <a:lnTo>
                <a:pt x="889418" y="1517053"/>
              </a:lnTo>
              <a:lnTo>
                <a:pt x="895336" y="1563285"/>
              </a:lnTo>
              <a:lnTo>
                <a:pt x="895093" y="1575073"/>
              </a:lnTo>
              <a:lnTo>
                <a:pt x="892260" y="1617137"/>
              </a:lnTo>
              <a:lnTo>
                <a:pt x="886066" y="1668953"/>
              </a:lnTo>
              <a:lnTo>
                <a:pt x="879080" y="1708635"/>
              </a:lnTo>
              <a:lnTo>
                <a:pt x="870502" y="1752737"/>
              </a:lnTo>
              <a:lnTo>
                <a:pt x="860822" y="1801408"/>
              </a:lnTo>
              <a:lnTo>
                <a:pt x="855605" y="1827536"/>
              </a:lnTo>
              <a:lnTo>
                <a:pt x="844910" y="1884040"/>
              </a:lnTo>
              <a:lnTo>
                <a:pt x="833742" y="1946027"/>
              </a:lnTo>
              <a:lnTo>
                <a:pt x="827958" y="1978318"/>
              </a:lnTo>
              <a:lnTo>
                <a:pt x="821995" y="2011409"/>
              </a:lnTo>
              <a:lnTo>
                <a:pt x="809669" y="2080187"/>
              </a:lnTo>
              <a:lnTo>
                <a:pt x="797367" y="2151373"/>
              </a:lnTo>
              <a:lnTo>
                <a:pt x="785088" y="2224967"/>
              </a:lnTo>
              <a:lnTo>
                <a:pt x="778879" y="2262151"/>
              </a:lnTo>
              <a:lnTo>
                <a:pt x="772574" y="2299584"/>
              </a:lnTo>
              <a:lnTo>
                <a:pt x="766200" y="2337354"/>
              </a:lnTo>
              <a:lnTo>
                <a:pt x="759824" y="2375226"/>
              </a:lnTo>
              <a:lnTo>
                <a:pt x="753514" y="2412963"/>
              </a:lnTo>
              <a:lnTo>
                <a:pt x="747229" y="2450771"/>
              </a:lnTo>
              <a:lnTo>
                <a:pt x="740953" y="2488688"/>
              </a:lnTo>
              <a:lnTo>
                <a:pt x="728844" y="2562883"/>
              </a:lnTo>
              <a:lnTo>
                <a:pt x="717565" y="2634095"/>
              </a:lnTo>
              <a:lnTo>
                <a:pt x="707094" y="2701450"/>
              </a:lnTo>
              <a:lnTo>
                <a:pt x="697462" y="2763769"/>
              </a:lnTo>
              <a:lnTo>
                <a:pt x="688881" y="2820506"/>
              </a:lnTo>
              <a:lnTo>
                <a:pt x="681508" y="2870821"/>
              </a:lnTo>
              <a:lnTo>
                <a:pt x="675533" y="2914426"/>
              </a:lnTo>
              <a:lnTo>
                <a:pt x="669581" y="2966033"/>
              </a:lnTo>
              <a:lnTo>
                <a:pt x="667782" y="3002551"/>
              </a:lnTo>
              <a:lnTo>
                <a:pt x="668155" y="3011324"/>
              </a:lnTo>
              <a:lnTo>
                <a:pt x="669078" y="3018196"/>
              </a:lnTo>
              <a:lnTo>
                <a:pt x="670695" y="3026032"/>
              </a:lnTo>
              <a:lnTo>
                <a:pt x="673903" y="3028837"/>
              </a:lnTo>
              <a:lnTo>
                <a:pt x="678213" y="3026832"/>
              </a:lnTo>
              <a:lnTo>
                <a:pt x="706175" y="2985635"/>
              </a:lnTo>
              <a:lnTo>
                <a:pt x="726020" y="2941882"/>
              </a:lnTo>
              <a:lnTo>
                <a:pt x="741000" y="2904037"/>
              </a:lnTo>
              <a:lnTo>
                <a:pt x="758403" y="2857761"/>
              </a:lnTo>
              <a:lnTo>
                <a:pt x="778231" y="2803054"/>
              </a:lnTo>
              <a:lnTo>
                <a:pt x="799827" y="2739063"/>
              </a:lnTo>
              <a:lnTo>
                <a:pt x="823191" y="2665786"/>
              </a:lnTo>
              <a:lnTo>
                <a:pt x="835998" y="2625499"/>
              </a:lnTo>
              <a:lnTo>
                <a:pt x="849656" y="2582602"/>
              </a:lnTo>
              <a:lnTo>
                <a:pt x="864062" y="2537185"/>
              </a:lnTo>
              <a:lnTo>
                <a:pt x="879224" y="2489512"/>
              </a:lnTo>
              <a:lnTo>
                <a:pt x="895148" y="2439849"/>
              </a:lnTo>
              <a:lnTo>
                <a:pt x="908416" y="2398774"/>
              </a:lnTo>
              <a:lnTo>
                <a:pt x="922152" y="2356414"/>
              </a:lnTo>
              <a:lnTo>
                <a:pt x="936383" y="2312700"/>
              </a:lnTo>
              <a:lnTo>
                <a:pt x="951141" y="2267565"/>
              </a:lnTo>
              <a:lnTo>
                <a:pt x="966455" y="2220940"/>
              </a:lnTo>
              <a:lnTo>
                <a:pt x="982378" y="2172697"/>
              </a:lnTo>
              <a:lnTo>
                <a:pt x="998889" y="2122882"/>
              </a:lnTo>
              <a:lnTo>
                <a:pt x="1015911" y="2071686"/>
              </a:lnTo>
              <a:lnTo>
                <a:pt x="1033363" y="2019300"/>
              </a:lnTo>
              <a:lnTo>
                <a:pt x="1051169" y="1965914"/>
              </a:lnTo>
              <a:lnTo>
                <a:pt x="1066331" y="1920476"/>
              </a:lnTo>
              <a:lnTo>
                <a:pt x="1081843" y="1874022"/>
              </a:lnTo>
              <a:lnTo>
                <a:pt x="1097636" y="1826785"/>
              </a:lnTo>
              <a:lnTo>
                <a:pt x="1113642" y="1779000"/>
              </a:lnTo>
              <a:lnTo>
                <a:pt x="1129791" y="1730901"/>
              </a:lnTo>
              <a:lnTo>
                <a:pt x="1146014" y="1682722"/>
              </a:lnTo>
              <a:lnTo>
                <a:pt x="1162417" y="1634192"/>
              </a:lnTo>
              <a:lnTo>
                <a:pt x="1179078" y="1585070"/>
              </a:lnTo>
              <a:lnTo>
                <a:pt x="1195882" y="1535633"/>
              </a:lnTo>
              <a:lnTo>
                <a:pt x="1212714" y="1486161"/>
              </a:lnTo>
              <a:lnTo>
                <a:pt x="1229461" y="1436933"/>
              </a:lnTo>
              <a:lnTo>
                <a:pt x="1246008" y="1388228"/>
              </a:lnTo>
              <a:lnTo>
                <a:pt x="1262454" y="1339843"/>
              </a:lnTo>
              <a:lnTo>
                <a:pt x="1278909" y="1291516"/>
              </a:lnTo>
              <a:lnTo>
                <a:pt x="1295278" y="1243433"/>
              </a:lnTo>
              <a:lnTo>
                <a:pt x="1311467" y="1195779"/>
              </a:lnTo>
              <a:lnTo>
                <a:pt x="1327381" y="1148741"/>
              </a:lnTo>
              <a:lnTo>
                <a:pt x="1342924" y="1102506"/>
              </a:lnTo>
              <a:lnTo>
                <a:pt x="1361172" y="1047820"/>
              </a:lnTo>
              <a:lnTo>
                <a:pt x="1379076" y="993819"/>
              </a:lnTo>
              <a:lnTo>
                <a:pt x="1396558" y="940807"/>
              </a:lnTo>
              <a:lnTo>
                <a:pt x="1413536" y="889086"/>
              </a:lnTo>
              <a:lnTo>
                <a:pt x="1429929" y="838961"/>
              </a:lnTo>
              <a:lnTo>
                <a:pt x="1445807" y="790322"/>
              </a:lnTo>
              <a:lnTo>
                <a:pt x="1461223" y="742965"/>
              </a:lnTo>
              <a:lnTo>
                <a:pt x="1476074" y="697057"/>
              </a:lnTo>
              <a:lnTo>
                <a:pt x="1490258" y="652763"/>
              </a:lnTo>
              <a:lnTo>
                <a:pt x="1503671" y="610248"/>
              </a:lnTo>
              <a:lnTo>
                <a:pt x="1519307" y="559559"/>
              </a:lnTo>
              <a:lnTo>
                <a:pt x="1533808" y="511458"/>
              </a:lnTo>
              <a:lnTo>
                <a:pt x="1547289" y="466003"/>
              </a:lnTo>
              <a:lnTo>
                <a:pt x="1559866" y="423250"/>
              </a:lnTo>
              <a:lnTo>
                <a:pt x="1571545" y="383174"/>
              </a:lnTo>
              <a:lnTo>
                <a:pt x="1582272" y="345760"/>
              </a:lnTo>
              <a:lnTo>
                <a:pt x="1600976" y="279179"/>
              </a:lnTo>
              <a:lnTo>
                <a:pt x="1615910" y="223893"/>
              </a:lnTo>
              <a:lnTo>
                <a:pt x="1627555" y="179444"/>
              </a:lnTo>
              <a:lnTo>
                <a:pt x="1639632" y="132449"/>
              </a:lnTo>
              <a:lnTo>
                <a:pt x="1642350" y="122072"/>
              </a:lnTo>
              <a:lnTo>
                <a:pt x="1645610" y="109994"/>
              </a:lnTo>
              <a:lnTo>
                <a:pt x="1647038" y="105626"/>
              </a:lnTo>
              <a:lnTo>
                <a:pt x="1647116" y="106974"/>
              </a:lnTo>
              <a:lnTo>
                <a:pt x="1647195" y="108323"/>
              </a:lnTo>
              <a:lnTo>
                <a:pt x="1637415" y="153202"/>
              </a:lnTo>
              <a:lnTo>
                <a:pt x="1625194" y="200331"/>
              </a:lnTo>
              <a:lnTo>
                <a:pt x="1619948" y="219116"/>
              </a:lnTo>
              <a:lnTo>
                <a:pt x="1614261" y="239481"/>
              </a:lnTo>
              <a:lnTo>
                <a:pt x="1602005" y="285050"/>
              </a:lnTo>
              <a:lnTo>
                <a:pt x="1588426" y="337037"/>
              </a:lnTo>
              <a:lnTo>
                <a:pt x="1573720" y="394181"/>
              </a:lnTo>
              <a:lnTo>
                <a:pt x="1557885" y="456482"/>
              </a:lnTo>
              <a:lnTo>
                <a:pt x="1549497" y="489515"/>
              </a:lnTo>
              <a:lnTo>
                <a:pt x="1531615" y="559852"/>
              </a:lnTo>
              <a:lnTo>
                <a:pt x="1512761" y="634124"/>
              </a:lnTo>
              <a:lnTo>
                <a:pt x="1503185" y="672088"/>
              </a:lnTo>
              <a:lnTo>
                <a:pt x="1493463" y="710785"/>
              </a:lnTo>
              <a:lnTo>
                <a:pt x="1483518" y="750150"/>
              </a:lnTo>
              <a:lnTo>
                <a:pt x="1473273" y="790114"/>
              </a:lnTo>
              <a:lnTo>
                <a:pt x="1462603" y="830837"/>
              </a:lnTo>
              <a:lnTo>
                <a:pt x="1451584" y="872296"/>
              </a:lnTo>
              <a:lnTo>
                <a:pt x="1440440" y="914149"/>
              </a:lnTo>
              <a:lnTo>
                <a:pt x="1429396" y="956057"/>
              </a:lnTo>
              <a:lnTo>
                <a:pt x="1418474" y="998211"/>
              </a:lnTo>
              <a:lnTo>
                <a:pt x="1407565" y="1040698"/>
              </a:lnTo>
              <a:lnTo>
                <a:pt x="1396704" y="1083022"/>
              </a:lnTo>
              <a:lnTo>
                <a:pt x="1385922" y="1124689"/>
              </a:lnTo>
              <a:lnTo>
                <a:pt x="1375185" y="1165745"/>
              </a:lnTo>
              <a:lnTo>
                <a:pt x="1364490" y="1206396"/>
              </a:lnTo>
              <a:lnTo>
                <a:pt x="1353919" y="1246380"/>
              </a:lnTo>
              <a:lnTo>
                <a:pt x="1343557" y="1285437"/>
              </a:lnTo>
              <a:lnTo>
                <a:pt x="1333370" y="1323572"/>
              </a:lnTo>
              <a:lnTo>
                <a:pt x="1323333" y="1360900"/>
              </a:lnTo>
              <a:lnTo>
                <a:pt x="1313540" y="1397322"/>
              </a:lnTo>
              <a:lnTo>
                <a:pt x="1294944" y="1467320"/>
              </a:lnTo>
              <a:lnTo>
                <a:pt x="1277582" y="1533569"/>
              </a:lnTo>
              <a:lnTo>
                <a:pt x="1261945" y="1593743"/>
              </a:lnTo>
              <a:lnTo>
                <a:pt x="1248035" y="1647840"/>
              </a:lnTo>
              <a:lnTo>
                <a:pt x="1241686" y="1672511"/>
              </a:lnTo>
              <a:lnTo>
                <a:pt x="1235726" y="1695553"/>
              </a:lnTo>
              <a:lnTo>
                <a:pt x="1230164" y="1717007"/>
              </a:lnTo>
              <a:lnTo>
                <a:pt x="1225019" y="1736884"/>
              </a:lnTo>
              <a:lnTo>
                <a:pt x="1220310" y="1755195"/>
              </a:lnTo>
              <a:lnTo>
                <a:pt x="1216061" y="1772067"/>
              </a:lnTo>
              <a:lnTo>
                <a:pt x="1212258" y="1787452"/>
              </a:lnTo>
              <a:lnTo>
                <a:pt x="1208853" y="1801101"/>
              </a:lnTo>
              <a:lnTo>
                <a:pt x="1197194" y="1839891"/>
              </a:lnTo>
              <a:lnTo>
                <a:pt x="1195331" y="1843467"/>
              </a:lnTo>
              <a:lnTo>
                <a:pt x="1194633" y="1841655"/>
              </a:lnTo>
              <a:lnTo>
                <a:pt x="1194621" y="1834223"/>
              </a:lnTo>
              <a:lnTo>
                <a:pt x="1194727" y="1827635"/>
              </a:lnTo>
              <a:lnTo>
                <a:pt x="1198920" y="1780237"/>
              </a:lnTo>
              <a:lnTo>
                <a:pt x="1203822" y="1743676"/>
              </a:lnTo>
              <a:lnTo>
                <a:pt x="1206601" y="1722068"/>
              </a:lnTo>
              <a:lnTo>
                <a:pt x="1212695" y="1672209"/>
              </a:lnTo>
              <a:lnTo>
                <a:pt x="1219575" y="1613348"/>
              </a:lnTo>
              <a:lnTo>
                <a:pt x="1227158" y="1544936"/>
              </a:lnTo>
              <a:lnTo>
                <a:pt x="1235333" y="1468105"/>
              </a:lnTo>
              <a:lnTo>
                <a:pt x="1239558" y="1426788"/>
              </a:lnTo>
              <a:lnTo>
                <a:pt x="1243891" y="1383417"/>
              </a:lnTo>
              <a:lnTo>
                <a:pt x="1248374" y="1338372"/>
              </a:lnTo>
              <a:lnTo>
                <a:pt x="1253047" y="1292031"/>
              </a:lnTo>
              <a:lnTo>
                <a:pt x="1257918" y="1244198"/>
              </a:lnTo>
              <a:lnTo>
                <a:pt x="1262967" y="1194769"/>
              </a:lnTo>
              <a:lnTo>
                <a:pt x="1268191" y="1144266"/>
              </a:lnTo>
              <a:lnTo>
                <a:pt x="1273589" y="1093213"/>
              </a:lnTo>
              <a:lnTo>
                <a:pt x="1279247" y="1041255"/>
              </a:lnTo>
              <a:lnTo>
                <a:pt x="1285137" y="988276"/>
              </a:lnTo>
              <a:lnTo>
                <a:pt x="1291085" y="935163"/>
              </a:lnTo>
              <a:lnTo>
                <a:pt x="1296915" y="882800"/>
              </a:lnTo>
              <a:lnTo>
                <a:pt x="1302638" y="831144"/>
              </a:lnTo>
              <a:lnTo>
                <a:pt x="1308328" y="779816"/>
              </a:lnTo>
              <a:lnTo>
                <a:pt x="1313905" y="729199"/>
              </a:lnTo>
              <a:lnTo>
                <a:pt x="1319290" y="679680"/>
              </a:lnTo>
              <a:lnTo>
                <a:pt x="1324477" y="631097"/>
              </a:lnTo>
              <a:lnTo>
                <a:pt x="1329504" y="583333"/>
              </a:lnTo>
              <a:lnTo>
                <a:pt x="1334353" y="536836"/>
              </a:lnTo>
              <a:lnTo>
                <a:pt x="1339005" y="492055"/>
              </a:lnTo>
              <a:lnTo>
                <a:pt x="1343448" y="448939"/>
              </a:lnTo>
              <a:lnTo>
                <a:pt x="1347695" y="407305"/>
              </a:lnTo>
              <a:lnTo>
                <a:pt x="1351760" y="367406"/>
              </a:lnTo>
              <a:lnTo>
                <a:pt x="1355659" y="329494"/>
              </a:lnTo>
              <a:lnTo>
                <a:pt x="1359418" y="293517"/>
              </a:lnTo>
              <a:lnTo>
                <a:pt x="1363021" y="259381"/>
              </a:lnTo>
              <a:lnTo>
                <a:pt x="1366422" y="227273"/>
              </a:lnTo>
              <a:lnTo>
                <a:pt x="1369574" y="197380"/>
              </a:lnTo>
              <a:lnTo>
                <a:pt x="1372427" y="169747"/>
              </a:lnTo>
              <a:lnTo>
                <a:pt x="1375020" y="144277"/>
              </a:lnTo>
              <a:lnTo>
                <a:pt x="1377434" y="120940"/>
              </a:lnTo>
              <a:lnTo>
                <a:pt x="1381997" y="80603"/>
              </a:lnTo>
              <a:lnTo>
                <a:pt x="1387953" y="35862"/>
              </a:lnTo>
              <a:lnTo>
                <a:pt x="1394807" y="0"/>
              </a:lnTo>
              <a:lnTo>
                <a:pt x="1395309" y="1127"/>
              </a:lnTo>
              <a:lnTo>
                <a:pt x="1394167" y="8004"/>
              </a:lnTo>
              <a:lnTo>
                <a:pt x="1393144" y="14304"/>
              </a:lnTo>
              <a:lnTo>
                <a:pt x="1383358" y="60522"/>
              </a:lnTo>
              <a:lnTo>
                <a:pt x="1368985" y="115695"/>
              </a:lnTo>
              <a:lnTo>
                <a:pt x="1357348" y="159786"/>
              </a:lnTo>
              <a:lnTo>
                <a:pt x="1350852" y="184275"/>
              </a:lnTo>
              <a:lnTo>
                <a:pt x="1343888" y="210624"/>
              </a:lnTo>
              <a:lnTo>
                <a:pt x="1336466" y="238971"/>
              </a:lnTo>
              <a:lnTo>
                <a:pt x="1328589" y="269193"/>
              </a:lnTo>
              <a:lnTo>
                <a:pt x="1320232" y="301072"/>
              </a:lnTo>
              <a:lnTo>
                <a:pt x="1302022" y="369253"/>
              </a:lnTo>
              <a:lnTo>
                <a:pt x="1281836" y="443516"/>
              </a:lnTo>
              <a:lnTo>
                <a:pt x="1270954" y="482307"/>
              </a:lnTo>
              <a:lnTo>
                <a:pt x="1259504" y="522163"/>
              </a:lnTo>
              <a:lnTo>
                <a:pt x="1247510" y="563199"/>
              </a:lnTo>
              <a:lnTo>
                <a:pt x="1235026" y="605197"/>
              </a:lnTo>
              <a:lnTo>
                <a:pt x="1222106" y="647941"/>
              </a:lnTo>
              <a:lnTo>
                <a:pt x="1208642" y="691731"/>
              </a:lnTo>
              <a:lnTo>
                <a:pt x="1194645" y="736562"/>
              </a:lnTo>
              <a:lnTo>
                <a:pt x="1180354" y="781767"/>
              </a:lnTo>
              <a:lnTo>
                <a:pt x="1166004" y="826676"/>
              </a:lnTo>
              <a:lnTo>
                <a:pt x="1151491" y="871342"/>
              </a:lnTo>
              <a:lnTo>
                <a:pt x="1136745" y="916044"/>
              </a:lnTo>
              <a:lnTo>
                <a:pt x="1122055" y="960457"/>
              </a:lnTo>
              <a:lnTo>
                <a:pt x="1107707" y="1004257"/>
              </a:lnTo>
              <a:lnTo>
                <a:pt x="1093694" y="1047628"/>
              </a:lnTo>
              <a:lnTo>
                <a:pt x="1079890" y="1090652"/>
              </a:lnTo>
              <a:lnTo>
                <a:pt x="1066408" y="1132853"/>
              </a:lnTo>
              <a:lnTo>
                <a:pt x="1053361" y="1173753"/>
              </a:lnTo>
              <a:lnTo>
                <a:pt x="1040688" y="1213469"/>
              </a:lnTo>
              <a:lnTo>
                <a:pt x="1028360" y="1252176"/>
              </a:lnTo>
              <a:lnTo>
                <a:pt x="1016534" y="1289476"/>
              </a:lnTo>
              <a:lnTo>
                <a:pt x="994886" y="1358704"/>
              </a:lnTo>
              <a:lnTo>
                <a:pt x="975745" y="1421155"/>
              </a:lnTo>
              <a:lnTo>
                <a:pt x="967087" y="1449446"/>
              </a:lnTo>
              <a:lnTo>
                <a:pt x="951603" y="1499860"/>
              </a:lnTo>
              <a:lnTo>
                <a:pt x="938551" y="1542627"/>
              </a:lnTo>
              <a:lnTo>
                <a:pt x="923419" y="1592848"/>
              </a:lnTo>
              <a:lnTo>
                <a:pt x="913011" y="1634970"/>
              </a:lnTo>
              <a:lnTo>
                <a:pt x="911688" y="1645692"/>
              </a:lnTo>
              <a:lnTo>
                <a:pt x="913137" y="1644036"/>
              </a:lnTo>
              <a:lnTo>
                <a:pt x="932434" y="1605192"/>
              </a:lnTo>
              <a:lnTo>
                <a:pt x="950983" y="1562095"/>
              </a:lnTo>
              <a:lnTo>
                <a:pt x="965174" y="1525432"/>
              </a:lnTo>
              <a:lnTo>
                <a:pt x="980591" y="1482562"/>
              </a:lnTo>
              <a:lnTo>
                <a:pt x="997450" y="1434969"/>
              </a:lnTo>
              <a:lnTo>
                <a:pt x="1015752" y="1382652"/>
              </a:lnTo>
              <a:lnTo>
                <a:pt x="1034802" y="1327079"/>
              </a:lnTo>
              <a:lnTo>
                <a:pt x="1054601" y="1268250"/>
              </a:lnTo>
              <a:lnTo>
                <a:pt x="1064623" y="1238427"/>
              </a:lnTo>
              <a:lnTo>
                <a:pt x="1074750" y="1208414"/>
              </a:lnTo>
              <a:lnTo>
                <a:pt x="1085001" y="1178051"/>
              </a:lnTo>
              <a:lnTo>
                <a:pt x="1095248" y="1147570"/>
              </a:lnTo>
              <a:lnTo>
                <a:pt x="1105366" y="1117206"/>
              </a:lnTo>
              <a:lnTo>
                <a:pt x="1115357" y="1086789"/>
              </a:lnTo>
              <a:lnTo>
                <a:pt x="1125279" y="1056271"/>
              </a:lnTo>
              <a:lnTo>
                <a:pt x="1135077" y="1026068"/>
              </a:lnTo>
              <a:lnTo>
                <a:pt x="1144699" y="996595"/>
              </a:lnTo>
              <a:lnTo>
                <a:pt x="1154179" y="967894"/>
              </a:lnTo>
              <a:lnTo>
                <a:pt x="1163527" y="939766"/>
              </a:lnTo>
              <a:lnTo>
                <a:pt x="1172663" y="912267"/>
              </a:lnTo>
              <a:lnTo>
                <a:pt x="1181504" y="885453"/>
              </a:lnTo>
              <a:lnTo>
                <a:pt x="1190040" y="859173"/>
              </a:lnTo>
              <a:lnTo>
                <a:pt x="1198311" y="833452"/>
              </a:lnTo>
              <a:lnTo>
                <a:pt x="1206309" y="808614"/>
              </a:lnTo>
              <a:lnTo>
                <a:pt x="1214029" y="784979"/>
              </a:lnTo>
              <a:lnTo>
                <a:pt x="1221529" y="762555"/>
              </a:lnTo>
              <a:lnTo>
                <a:pt x="1228792" y="741195"/>
              </a:lnTo>
              <a:lnTo>
                <a:pt x="1235698" y="720997"/>
              </a:lnTo>
              <a:lnTo>
                <a:pt x="1242127" y="702059"/>
              </a:lnTo>
              <a:lnTo>
                <a:pt x="1248061" y="684261"/>
              </a:lnTo>
              <a:lnTo>
                <a:pt x="1253560" y="667599"/>
              </a:lnTo>
              <a:lnTo>
                <a:pt x="1258619" y="652346"/>
              </a:lnTo>
              <a:lnTo>
                <a:pt x="1271160" y="616048"/>
              </a:lnTo>
              <a:lnTo>
                <a:pt x="1283469" y="593810"/>
              </a:lnTo>
              <a:lnTo>
                <a:pt x="1283735" y="598423"/>
              </a:lnTo>
              <a:lnTo>
                <a:pt x="1276300" y="640734"/>
              </a:lnTo>
              <a:lnTo>
                <a:pt x="1269674" y="670430"/>
              </a:lnTo>
              <a:lnTo>
                <a:pt x="1265884" y="687822"/>
              </a:lnTo>
              <a:lnTo>
                <a:pt x="1261868" y="706881"/>
              </a:lnTo>
              <a:lnTo>
                <a:pt x="1257547" y="727646"/>
              </a:lnTo>
              <a:lnTo>
                <a:pt x="1252882" y="750085"/>
              </a:lnTo>
              <a:lnTo>
                <a:pt x="1247831" y="774165"/>
              </a:lnTo>
              <a:lnTo>
                <a:pt x="1242298" y="800070"/>
              </a:lnTo>
              <a:lnTo>
                <a:pt x="1236333" y="827753"/>
              </a:lnTo>
              <a:lnTo>
                <a:pt x="1230115" y="856834"/>
              </a:lnTo>
              <a:lnTo>
                <a:pt x="1217472" y="918049"/>
              </a:lnTo>
              <a:lnTo>
                <a:pt x="1204368" y="983714"/>
              </a:lnTo>
              <a:lnTo>
                <a:pt x="1190857" y="1053503"/>
              </a:lnTo>
              <a:lnTo>
                <a:pt x="1176937" y="1127415"/>
              </a:lnTo>
              <a:lnTo>
                <a:pt x="1170044" y="1165209"/>
              </a:lnTo>
              <a:lnTo>
                <a:pt x="1163225" y="1203550"/>
              </a:lnTo>
              <a:lnTo>
                <a:pt x="1156434" y="1242553"/>
              </a:lnTo>
              <a:lnTo>
                <a:pt x="1149719" y="1281905"/>
              </a:lnTo>
              <a:lnTo>
                <a:pt x="1143125" y="1321293"/>
              </a:lnTo>
              <a:lnTo>
                <a:pt x="1136616" y="1360900"/>
              </a:lnTo>
              <a:lnTo>
                <a:pt x="1130185" y="1400808"/>
              </a:lnTo>
              <a:lnTo>
                <a:pt x="1123916" y="1440535"/>
              </a:lnTo>
              <a:lnTo>
                <a:pt x="1117896" y="1479605"/>
              </a:lnTo>
              <a:lnTo>
                <a:pt x="1112168" y="1518101"/>
              </a:lnTo>
              <a:lnTo>
                <a:pt x="1106681" y="1556207"/>
              </a:lnTo>
              <a:lnTo>
                <a:pt x="1101372" y="1593596"/>
              </a:lnTo>
              <a:lnTo>
                <a:pt x="1096181" y="1629940"/>
              </a:lnTo>
              <a:lnTo>
                <a:pt x="1091045" y="1665360"/>
              </a:lnTo>
              <a:lnTo>
                <a:pt x="1086013" y="1699961"/>
              </a:lnTo>
              <a:lnTo>
                <a:pt x="1081187" y="1733393"/>
              </a:lnTo>
              <a:lnTo>
                <a:pt x="1072478" y="1795727"/>
              </a:lnTo>
              <a:lnTo>
                <a:pt x="1064917" y="1852362"/>
              </a:lnTo>
              <a:lnTo>
                <a:pt x="1058459" y="1902662"/>
              </a:lnTo>
              <a:lnTo>
                <a:pt x="1053104" y="1946628"/>
              </a:lnTo>
              <a:lnTo>
                <a:pt x="1049454" y="1998199"/>
              </a:lnTo>
              <a:lnTo>
                <a:pt x="1049403" y="2011416"/>
              </a:lnTo>
              <a:lnTo>
                <a:pt x="1049960" y="2022273"/>
              </a:lnTo>
              <a:lnTo>
                <a:pt x="1051121" y="2035060"/>
              </a:lnTo>
              <a:lnTo>
                <a:pt x="1054103" y="2041480"/>
              </a:lnTo>
              <a:lnTo>
                <a:pt x="1058237" y="2042437"/>
              </a:lnTo>
              <a:lnTo>
                <a:pt x="1062370" y="2043394"/>
              </a:lnTo>
              <a:lnTo>
                <a:pt x="1067413" y="2038537"/>
              </a:lnTo>
              <a:lnTo>
                <a:pt x="1094776" y="1994397"/>
              </a:lnTo>
              <a:lnTo>
                <a:pt x="1118169" y="1943389"/>
              </a:lnTo>
              <a:lnTo>
                <a:pt x="1135588" y="1900690"/>
              </a:lnTo>
              <a:lnTo>
                <a:pt x="1154747" y="1852650"/>
              </a:lnTo>
              <a:lnTo>
                <a:pt x="1175768" y="1797790"/>
              </a:lnTo>
              <a:lnTo>
                <a:pt x="1198900" y="1734646"/>
              </a:lnTo>
              <a:lnTo>
                <a:pt x="1223922" y="1664603"/>
              </a:lnTo>
              <a:lnTo>
                <a:pt x="1237154" y="1627102"/>
              </a:lnTo>
              <a:lnTo>
                <a:pt x="1250883" y="1587834"/>
              </a:lnTo>
              <a:lnTo>
                <a:pt x="1264957" y="1547429"/>
              </a:lnTo>
              <a:lnTo>
                <a:pt x="1279223" y="1506515"/>
              </a:lnTo>
              <a:lnTo>
                <a:pt x="1293749" y="1464879"/>
              </a:lnTo>
              <a:lnTo>
                <a:pt x="1308579" y="1422314"/>
              </a:lnTo>
              <a:lnTo>
                <a:pt x="1323531" y="1379453"/>
              </a:lnTo>
              <a:lnTo>
                <a:pt x="1338421" y="1336929"/>
              </a:lnTo>
              <a:lnTo>
                <a:pt x="1353264" y="1294584"/>
              </a:lnTo>
              <a:lnTo>
                <a:pt x="1368138" y="1252189"/>
              </a:lnTo>
              <a:lnTo>
                <a:pt x="1382949" y="1210273"/>
              </a:lnTo>
              <a:lnTo>
                <a:pt x="1397607" y="1169364"/>
              </a:lnTo>
              <a:lnTo>
                <a:pt x="1412264" y="1129242"/>
              </a:lnTo>
              <a:lnTo>
                <a:pt x="1426910" y="1089748"/>
              </a:lnTo>
              <a:lnTo>
                <a:pt x="1441210" y="1051493"/>
              </a:lnTo>
              <a:lnTo>
                <a:pt x="1454831" y="1015093"/>
              </a:lnTo>
              <a:lnTo>
                <a:pt x="1467764" y="980525"/>
              </a:lnTo>
              <a:lnTo>
                <a:pt x="1491926" y="916339"/>
              </a:lnTo>
              <a:lnTo>
                <a:pt x="1513243" y="860226"/>
              </a:lnTo>
              <a:lnTo>
                <a:pt x="1531716" y="812189"/>
              </a:lnTo>
              <a:lnTo>
                <a:pt x="1547639" y="771676"/>
              </a:lnTo>
              <a:lnTo>
                <a:pt x="1566794" y="725434"/>
              </a:lnTo>
              <a:lnTo>
                <a:pt x="1587534" y="690209"/>
              </a:lnTo>
              <a:lnTo>
                <a:pt x="1589199" y="692259"/>
              </a:lnTo>
              <a:lnTo>
                <a:pt x="1579412" y="743491"/>
              </a:lnTo>
              <a:lnTo>
                <a:pt x="1566104" y="798048"/>
              </a:lnTo>
              <a:lnTo>
                <a:pt x="1553657" y="844759"/>
              </a:lnTo>
              <a:lnTo>
                <a:pt x="1538267" y="899693"/>
              </a:lnTo>
              <a:lnTo>
                <a:pt x="1529609" y="930296"/>
              </a:lnTo>
              <a:lnTo>
                <a:pt x="1520358" y="963055"/>
              </a:lnTo>
              <a:lnTo>
                <a:pt x="1499930" y="1034846"/>
              </a:lnTo>
              <a:lnTo>
                <a:pt x="1488671" y="1073670"/>
              </a:lnTo>
              <a:lnTo>
                <a:pt x="1476586" y="1114621"/>
              </a:lnTo>
              <a:lnTo>
                <a:pt x="1463730" y="1157675"/>
              </a:lnTo>
              <a:lnTo>
                <a:pt x="1450325" y="1202380"/>
              </a:lnTo>
              <a:lnTo>
                <a:pt x="1436590" y="1248283"/>
              </a:lnTo>
              <a:lnTo>
                <a:pt x="1422521" y="1295507"/>
              </a:lnTo>
              <a:lnTo>
                <a:pt x="1408020" y="1344212"/>
              </a:lnTo>
              <a:lnTo>
                <a:pt x="1393173" y="1394000"/>
              </a:lnTo>
              <a:lnTo>
                <a:pt x="1378066" y="1444473"/>
              </a:lnTo>
              <a:lnTo>
                <a:pt x="1362674" y="1495792"/>
              </a:lnTo>
              <a:lnTo>
                <a:pt x="1346967" y="1548079"/>
              </a:lnTo>
              <a:lnTo>
                <a:pt x="1331023" y="1600881"/>
              </a:lnTo>
              <a:lnTo>
                <a:pt x="1314924" y="1653740"/>
              </a:lnTo>
              <a:lnTo>
                <a:pt x="1298613" y="1706900"/>
              </a:lnTo>
              <a:lnTo>
                <a:pt x="1282073" y="1760481"/>
              </a:lnTo>
              <a:lnTo>
                <a:pt x="1265443" y="1813850"/>
              </a:lnTo>
              <a:lnTo>
                <a:pt x="1248862" y="1866372"/>
              </a:lnTo>
              <a:lnTo>
                <a:pt x="1232281" y="1918174"/>
              </a:lnTo>
              <a:lnTo>
                <a:pt x="1215654" y="1969495"/>
              </a:lnTo>
              <a:lnTo>
                <a:pt x="1199127" y="2019872"/>
              </a:lnTo>
              <a:lnTo>
                <a:pt x="1182845" y="2068840"/>
              </a:lnTo>
              <a:lnTo>
                <a:pt x="1166732" y="2116434"/>
              </a:lnTo>
              <a:lnTo>
                <a:pt x="1150748" y="2162849"/>
              </a:lnTo>
              <a:lnTo>
                <a:pt x="1135094" y="2207862"/>
              </a:lnTo>
              <a:lnTo>
                <a:pt x="1119969" y="2251247"/>
              </a:lnTo>
              <a:lnTo>
                <a:pt x="1105348" y="2293152"/>
              </a:lnTo>
              <a:lnTo>
                <a:pt x="1091150" y="2333628"/>
              </a:lnTo>
              <a:lnTo>
                <a:pt x="1077492" y="2372305"/>
              </a:lnTo>
              <a:lnTo>
                <a:pt x="1064491" y="2408814"/>
              </a:lnTo>
              <a:lnTo>
                <a:pt x="1040285" y="2475427"/>
              </a:lnTo>
              <a:lnTo>
                <a:pt x="1029175" y="2505627"/>
              </a:lnTo>
              <a:lnTo>
                <a:pt x="1018902" y="2533656"/>
              </a:lnTo>
              <a:lnTo>
                <a:pt x="1009467" y="2559458"/>
              </a:lnTo>
              <a:lnTo>
                <a:pt x="1000813" y="2583085"/>
              </a:lnTo>
              <a:lnTo>
                <a:pt x="992979" y="2604622"/>
              </a:lnTo>
              <a:lnTo>
                <a:pt x="979907" y="2641652"/>
              </a:lnTo>
              <a:lnTo>
                <a:pt x="966671" y="2682090"/>
              </a:lnTo>
              <a:lnTo>
                <a:pt x="960644" y="2709041"/>
              </a:lnTo>
              <a:lnTo>
                <a:pt x="960726" y="2713328"/>
              </a:lnTo>
              <a:lnTo>
                <a:pt x="983700" y="2676509"/>
              </a:lnTo>
              <a:lnTo>
                <a:pt x="1000701" y="2636020"/>
              </a:lnTo>
              <a:lnTo>
                <a:pt x="1021825" y="2581186"/>
              </a:lnTo>
              <a:lnTo>
                <a:pt x="1038530" y="2536148"/>
              </a:lnTo>
              <a:lnTo>
                <a:pt x="1057872" y="2483380"/>
              </a:lnTo>
              <a:lnTo>
                <a:pt x="1079605" y="2423407"/>
              </a:lnTo>
              <a:lnTo>
                <a:pt x="1103640" y="2356683"/>
              </a:lnTo>
              <a:lnTo>
                <a:pt x="1116523" y="2320632"/>
              </a:lnTo>
              <a:lnTo>
                <a:pt x="1129968" y="2282630"/>
              </a:lnTo>
              <a:lnTo>
                <a:pt x="1143973" y="2242678"/>
              </a:lnTo>
              <a:lnTo>
                <a:pt x="1158544" y="2200829"/>
              </a:lnTo>
              <a:lnTo>
                <a:pt x="1173680" y="2157039"/>
              </a:lnTo>
              <a:lnTo>
                <a:pt x="1189378" y="2111264"/>
              </a:lnTo>
              <a:lnTo>
                <a:pt x="1205599" y="2063193"/>
              </a:lnTo>
              <a:lnTo>
                <a:pt x="1222357" y="2012948"/>
              </a:lnTo>
              <a:lnTo>
                <a:pt x="1239731" y="1961139"/>
              </a:lnTo>
              <a:lnTo>
                <a:pt x="1257801" y="1908375"/>
              </a:lnTo>
              <a:lnTo>
                <a:pt x="1272811" y="1865471"/>
              </a:lnTo>
              <a:lnTo>
                <a:pt x="1288291" y="1821723"/>
              </a:lnTo>
              <a:lnTo>
                <a:pt x="1304178" y="1777285"/>
              </a:lnTo>
              <a:lnTo>
                <a:pt x="1320411" y="1732311"/>
              </a:lnTo>
              <a:lnTo>
                <a:pt x="1336926" y="1686954"/>
              </a:lnTo>
              <a:lnTo>
                <a:pt x="1353818" y="1640949"/>
              </a:lnTo>
              <a:lnTo>
                <a:pt x="1371130" y="1594194"/>
              </a:lnTo>
              <a:lnTo>
                <a:pt x="1388719" y="1547086"/>
              </a:lnTo>
              <a:lnTo>
                <a:pt x="1406442" y="1500024"/>
              </a:lnTo>
              <a:lnTo>
                <a:pt x="1424159" y="1453407"/>
              </a:lnTo>
              <a:lnTo>
                <a:pt x="1441974" y="1407011"/>
              </a:lnTo>
              <a:lnTo>
                <a:pt x="1459981" y="1360570"/>
              </a:lnTo>
              <a:lnTo>
                <a:pt x="1478024" y="1314420"/>
              </a:lnTo>
              <a:lnTo>
                <a:pt x="1495944" y="1268898"/>
              </a:lnTo>
              <a:lnTo>
                <a:pt x="1513583" y="1224339"/>
              </a:lnTo>
              <a:lnTo>
                <a:pt x="1535390" y="1169759"/>
              </a:lnTo>
              <a:lnTo>
                <a:pt x="1557014" y="1116198"/>
              </a:lnTo>
              <a:lnTo>
                <a:pt x="1578182" y="1064066"/>
              </a:lnTo>
              <a:lnTo>
                <a:pt x="1598626" y="1013772"/>
              </a:lnTo>
              <a:lnTo>
                <a:pt x="1618363" y="965277"/>
              </a:lnTo>
              <a:lnTo>
                <a:pt x="1637509" y="918411"/>
              </a:lnTo>
              <a:lnTo>
                <a:pt x="1655932" y="873391"/>
              </a:lnTo>
              <a:lnTo>
                <a:pt x="1673503" y="830431"/>
              </a:lnTo>
              <a:lnTo>
                <a:pt x="1690218" y="789451"/>
              </a:lnTo>
              <a:lnTo>
                <a:pt x="1706136" y="750381"/>
              </a:lnTo>
              <a:lnTo>
                <a:pt x="1721220" y="713456"/>
              </a:lnTo>
              <a:lnTo>
                <a:pt x="1735431" y="678910"/>
              </a:lnTo>
              <a:lnTo>
                <a:pt x="1748794" y="646793"/>
              </a:lnTo>
              <a:lnTo>
                <a:pt x="1761317" y="616985"/>
              </a:lnTo>
              <a:lnTo>
                <a:pt x="1772939" y="589461"/>
              </a:lnTo>
              <a:lnTo>
                <a:pt x="1783598" y="564197"/>
              </a:lnTo>
              <a:lnTo>
                <a:pt x="1793241" y="541263"/>
              </a:lnTo>
              <a:lnTo>
                <a:pt x="1801912" y="520647"/>
              </a:lnTo>
              <a:lnTo>
                <a:pt x="1809701" y="502199"/>
              </a:lnTo>
              <a:lnTo>
                <a:pt x="1816697" y="485770"/>
              </a:lnTo>
              <a:lnTo>
                <a:pt x="1822878" y="471238"/>
              </a:lnTo>
              <a:lnTo>
                <a:pt x="1841348" y="431531"/>
              </a:lnTo>
              <a:lnTo>
                <a:pt x="1844211" y="429266"/>
              </a:lnTo>
              <a:lnTo>
                <a:pt x="1844981" y="432321"/>
              </a:lnTo>
              <a:lnTo>
                <a:pt x="1845138" y="435710"/>
              </a:lnTo>
              <a:lnTo>
                <a:pt x="1844512" y="441270"/>
              </a:lnTo>
              <a:lnTo>
                <a:pt x="1835674" y="484768"/>
              </a:lnTo>
              <a:lnTo>
                <a:pt x="1821781" y="539269"/>
              </a:lnTo>
              <a:lnTo>
                <a:pt x="1808496" y="585777"/>
              </a:lnTo>
              <a:lnTo>
                <a:pt x="1792349" y="640101"/>
              </a:lnTo>
              <a:lnTo>
                <a:pt x="1773340" y="702243"/>
              </a:lnTo>
              <a:lnTo>
                <a:pt x="1751680" y="771921"/>
              </a:lnTo>
              <a:lnTo>
                <a:pt x="1739847" y="809599"/>
              </a:lnTo>
              <a:lnTo>
                <a:pt x="1727369" y="849137"/>
              </a:lnTo>
              <a:lnTo>
                <a:pt x="1714273" y="890496"/>
              </a:lnTo>
              <a:lnTo>
                <a:pt x="1700480" y="933910"/>
              </a:lnTo>
              <a:lnTo>
                <a:pt x="1686004" y="979319"/>
              </a:lnTo>
              <a:lnTo>
                <a:pt x="1671015" y="1026242"/>
              </a:lnTo>
              <a:lnTo>
                <a:pt x="1655683" y="1074198"/>
              </a:lnTo>
              <a:lnTo>
                <a:pt x="1640082" y="1123187"/>
              </a:lnTo>
              <a:lnTo>
                <a:pt x="1624111" y="1173425"/>
              </a:lnTo>
              <a:lnTo>
                <a:pt x="1607680" y="1224746"/>
              </a:lnTo>
              <a:lnTo>
                <a:pt x="1590695" y="1276985"/>
              </a:lnTo>
              <a:lnTo>
                <a:pt x="1576610" y="1319559"/>
              </a:lnTo>
              <a:lnTo>
                <a:pt x="1562105" y="1362905"/>
              </a:lnTo>
              <a:lnTo>
                <a:pt x="1547309" y="1406799"/>
              </a:lnTo>
              <a:lnTo>
                <a:pt x="1532348" y="1451019"/>
              </a:lnTo>
              <a:lnTo>
                <a:pt x="1517349" y="1495344"/>
              </a:lnTo>
              <a:lnTo>
                <a:pt x="1502236" y="1540045"/>
              </a:lnTo>
              <a:lnTo>
                <a:pt x="1486925" y="1585271"/>
              </a:lnTo>
              <a:lnTo>
                <a:pt x="1471529" y="1630613"/>
              </a:lnTo>
              <a:lnTo>
                <a:pt x="1456165" y="1675661"/>
              </a:lnTo>
              <a:lnTo>
                <a:pt x="1440946" y="1720008"/>
              </a:lnTo>
              <a:lnTo>
                <a:pt x="1422030" y="1774767"/>
              </a:lnTo>
              <a:lnTo>
                <a:pt x="1403163" y="1829035"/>
              </a:lnTo>
              <a:lnTo>
                <a:pt x="1384522" y="1882271"/>
              </a:lnTo>
              <a:lnTo>
                <a:pt x="1366279" y="1933933"/>
              </a:lnTo>
              <a:lnTo>
                <a:pt x="1348368" y="1984091"/>
              </a:lnTo>
              <a:lnTo>
                <a:pt x="1330732" y="2032962"/>
              </a:lnTo>
              <a:lnTo>
                <a:pt x="1313567" y="2080226"/>
              </a:lnTo>
              <a:lnTo>
                <a:pt x="1297070" y="2125562"/>
              </a:lnTo>
              <a:lnTo>
                <a:pt x="1281224" y="2169069"/>
              </a:lnTo>
              <a:lnTo>
                <a:pt x="1265947" y="2210857"/>
              </a:lnTo>
              <a:lnTo>
                <a:pt x="1251338" y="2250619"/>
              </a:lnTo>
              <a:lnTo>
                <a:pt x="1237492" y="2288046"/>
              </a:lnTo>
              <a:lnTo>
                <a:pt x="1211948" y="2356025"/>
              </a:lnTo>
              <a:lnTo>
                <a:pt x="1200327" y="2386617"/>
              </a:lnTo>
              <a:lnTo>
                <a:pt x="1189616" y="2414816"/>
              </a:lnTo>
              <a:lnTo>
                <a:pt x="1179863" y="2440478"/>
              </a:lnTo>
              <a:lnTo>
                <a:pt x="1171002" y="2463694"/>
              </a:lnTo>
              <a:lnTo>
                <a:pt x="1162978" y="2484716"/>
              </a:lnTo>
              <a:lnTo>
                <a:pt x="1155731" y="2503798"/>
              </a:lnTo>
              <a:lnTo>
                <a:pt x="1149318" y="2520864"/>
              </a:lnTo>
              <a:lnTo>
                <a:pt x="1143746" y="2535829"/>
              </a:lnTo>
              <a:lnTo>
                <a:pt x="1138884" y="2548923"/>
              </a:lnTo>
              <a:lnTo>
                <a:pt x="1134601" y="2560379"/>
              </a:lnTo>
              <a:lnTo>
                <a:pt x="1130835" y="2570145"/>
              </a:lnTo>
              <a:lnTo>
                <a:pt x="1127664" y="2578136"/>
              </a:lnTo>
              <a:lnTo>
                <a:pt x="1125172" y="2584533"/>
              </a:lnTo>
              <a:lnTo>
                <a:pt x="1123442" y="2589521"/>
              </a:lnTo>
              <a:lnTo>
                <a:pt x="1121679" y="2595312"/>
              </a:lnTo>
              <a:lnTo>
                <a:pt x="1122329" y="2597270"/>
              </a:lnTo>
              <a:lnTo>
                <a:pt x="1124026" y="2595129"/>
              </a:lnTo>
              <a:lnTo>
                <a:pt x="1125723" y="2592988"/>
              </a:lnTo>
              <a:lnTo>
                <a:pt x="1141449" y="2557906"/>
              </a:lnTo>
              <a:lnTo>
                <a:pt x="1156170" y="2518652"/>
              </a:lnTo>
              <a:lnTo>
                <a:pt x="1174083" y="2466618"/>
              </a:lnTo>
              <a:lnTo>
                <a:pt x="1180942" y="2446592"/>
              </a:lnTo>
              <a:lnTo>
                <a:pt x="1195986" y="2402255"/>
              </a:lnTo>
              <a:lnTo>
                <a:pt x="1213068" y="2350185"/>
              </a:lnTo>
              <a:lnTo>
                <a:pt x="1232188" y="2290381"/>
              </a:lnTo>
              <a:lnTo>
                <a:pt x="1253538" y="2222959"/>
              </a:lnTo>
              <a:lnTo>
                <a:pt x="1265043" y="2186387"/>
              </a:lnTo>
              <a:lnTo>
                <a:pt x="1277119" y="2147920"/>
              </a:lnTo>
              <a:lnTo>
                <a:pt x="1289789" y="2107568"/>
              </a:lnTo>
              <a:lnTo>
                <a:pt x="1302976" y="2065248"/>
              </a:lnTo>
              <a:lnTo>
                <a:pt x="1316694" y="2020984"/>
              </a:lnTo>
              <a:lnTo>
                <a:pt x="1331110" y="1974945"/>
              </a:lnTo>
              <a:lnTo>
                <a:pt x="1346386" y="1927301"/>
              </a:lnTo>
              <a:lnTo>
                <a:pt x="1362637" y="1877705"/>
              </a:lnTo>
              <a:lnTo>
                <a:pt x="1379752" y="1826197"/>
              </a:lnTo>
              <a:lnTo>
                <a:pt x="1397559" y="1773529"/>
              </a:lnTo>
              <a:lnTo>
                <a:pt x="1415884" y="1720454"/>
              </a:lnTo>
              <a:lnTo>
                <a:pt x="1430971" y="1677613"/>
              </a:lnTo>
              <a:lnTo>
                <a:pt x="1446507" y="1634141"/>
              </a:lnTo>
              <a:lnTo>
                <a:pt x="1462373" y="1590353"/>
              </a:lnTo>
              <a:lnTo>
                <a:pt x="1478446" y="1546561"/>
              </a:lnTo>
              <a:lnTo>
                <a:pt x="1494606" y="1503080"/>
              </a:lnTo>
              <a:lnTo>
                <a:pt x="1510957" y="1459656"/>
              </a:lnTo>
              <a:lnTo>
                <a:pt x="1527580" y="1416080"/>
              </a:lnTo>
              <a:lnTo>
                <a:pt x="1544319" y="1372731"/>
              </a:lnTo>
              <a:lnTo>
                <a:pt x="1561018" y="1329989"/>
              </a:lnTo>
              <a:lnTo>
                <a:pt x="1577523" y="1288235"/>
              </a:lnTo>
              <a:lnTo>
                <a:pt x="1598002" y="1237202"/>
              </a:lnTo>
              <a:lnTo>
                <a:pt x="1618409" y="1187191"/>
              </a:lnTo>
              <a:lnTo>
                <a:pt x="1638533" y="1138577"/>
              </a:lnTo>
              <a:lnTo>
                <a:pt x="1658167" y="1091737"/>
              </a:lnTo>
              <a:lnTo>
                <a:pt x="1677376" y="1046593"/>
              </a:lnTo>
              <a:lnTo>
                <a:pt x="1696231" y="1003004"/>
              </a:lnTo>
              <a:lnTo>
                <a:pt x="1714530" y="961251"/>
              </a:lnTo>
              <a:lnTo>
                <a:pt x="1732069" y="921617"/>
              </a:lnTo>
              <a:lnTo>
                <a:pt x="1748821" y="884168"/>
              </a:lnTo>
              <a:lnTo>
                <a:pt x="1764885" y="848757"/>
              </a:lnTo>
              <a:lnTo>
                <a:pt x="1794898" y="783886"/>
              </a:lnTo>
              <a:lnTo>
                <a:pt x="1822146" y="726692"/>
              </a:lnTo>
              <a:lnTo>
                <a:pt x="1846373" y="677664"/>
              </a:lnTo>
              <a:lnTo>
                <a:pt x="1867319" y="636708"/>
              </a:lnTo>
              <a:lnTo>
                <a:pt x="1892745" y="593696"/>
              </a:lnTo>
              <a:lnTo>
                <a:pt x="1916676" y="572282"/>
              </a:lnTo>
              <a:lnTo>
                <a:pt x="1919513" y="577168"/>
              </a:lnTo>
              <a:lnTo>
                <a:pt x="1920704" y="588833"/>
              </a:lnTo>
              <a:lnTo>
                <a:pt x="1921151" y="599055"/>
              </a:lnTo>
              <a:lnTo>
                <a:pt x="1920766" y="612025"/>
              </a:lnTo>
              <a:lnTo>
                <a:pt x="1915499" y="664651"/>
              </a:lnTo>
              <a:lnTo>
                <a:pt x="1908716" y="710683"/>
              </a:lnTo>
              <a:lnTo>
                <a:pt x="1899050" y="765947"/>
              </a:lnTo>
              <a:lnTo>
                <a:pt x="1886502" y="830442"/>
              </a:lnTo>
              <a:lnTo>
                <a:pt x="1871996" y="902348"/>
              </a:lnTo>
              <a:lnTo>
                <a:pt x="1863963" y="941034"/>
              </a:lnTo>
              <a:lnTo>
                <a:pt x="1855532" y="981666"/>
              </a:lnTo>
              <a:lnTo>
                <a:pt x="1846844" y="1024318"/>
              </a:lnTo>
              <a:lnTo>
                <a:pt x="1837982" y="1069225"/>
              </a:lnTo>
              <a:lnTo>
                <a:pt x="1828856" y="1116275"/>
              </a:lnTo>
              <a:lnTo>
                <a:pt x="1819347" y="1165024"/>
              </a:lnTo>
              <a:lnTo>
                <a:pt x="1809335" y="1215026"/>
              </a:lnTo>
              <a:lnTo>
                <a:pt x="1798687" y="1266521"/>
              </a:lnTo>
              <a:lnTo>
                <a:pt x="1787501" y="1319627"/>
              </a:lnTo>
              <a:lnTo>
                <a:pt x="1776004" y="1373716"/>
              </a:lnTo>
              <a:lnTo>
                <a:pt x="1764424" y="1428157"/>
              </a:lnTo>
              <a:lnTo>
                <a:pt x="1752731" y="1483153"/>
              </a:lnTo>
              <a:lnTo>
                <a:pt x="1740835" y="1538916"/>
              </a:lnTo>
              <a:lnTo>
                <a:pt x="1728868" y="1594833"/>
              </a:lnTo>
              <a:lnTo>
                <a:pt x="1716965" y="1650289"/>
              </a:lnTo>
              <a:lnTo>
                <a:pt x="1705078" y="1705394"/>
              </a:lnTo>
              <a:lnTo>
                <a:pt x="1693164" y="1760385"/>
              </a:lnTo>
              <a:lnTo>
                <a:pt x="1681364" y="1814836"/>
              </a:lnTo>
              <a:lnTo>
                <a:pt x="1669816" y="1868319"/>
              </a:lnTo>
              <a:lnTo>
                <a:pt x="1658562" y="1921009"/>
              </a:lnTo>
              <a:lnTo>
                <a:pt x="1647525" y="1973037"/>
              </a:lnTo>
              <a:lnTo>
                <a:pt x="1636674" y="2023915"/>
              </a:lnTo>
              <a:lnTo>
                <a:pt x="1625976" y="2073156"/>
              </a:lnTo>
              <a:lnTo>
                <a:pt x="1615368" y="2120781"/>
              </a:lnTo>
              <a:lnTo>
                <a:pt x="1604886" y="2167001"/>
              </a:lnTo>
              <a:lnTo>
                <a:pt x="1594644" y="2211607"/>
              </a:lnTo>
              <a:lnTo>
                <a:pt x="1584759" y="2254393"/>
              </a:lnTo>
              <a:lnTo>
                <a:pt x="1575201" y="2295490"/>
              </a:lnTo>
              <a:lnTo>
                <a:pt x="1565930" y="2334948"/>
              </a:lnTo>
              <a:lnTo>
                <a:pt x="1557038" y="2372430"/>
              </a:lnTo>
              <a:lnTo>
                <a:pt x="1540654" y="2440422"/>
              </a:lnTo>
              <a:lnTo>
                <a:pt x="1526049" y="2499466"/>
              </a:lnTo>
              <a:lnTo>
                <a:pt x="1519541" y="2525609"/>
              </a:lnTo>
              <a:lnTo>
                <a:pt x="1513612" y="2549421"/>
              </a:lnTo>
              <a:lnTo>
                <a:pt x="1503345" y="2590289"/>
              </a:lnTo>
              <a:lnTo>
                <a:pt x="1491439" y="2636041"/>
              </a:lnTo>
              <a:lnTo>
                <a:pt x="1488453" y="2647099"/>
              </a:lnTo>
              <a:lnTo>
                <a:pt x="1486072" y="2655968"/>
              </a:lnTo>
              <a:lnTo>
                <a:pt x="1483334" y="2666308"/>
              </a:lnTo>
              <a:lnTo>
                <a:pt x="1482279" y="2670514"/>
              </a:lnTo>
              <a:lnTo>
                <a:pt x="1482506" y="2669625"/>
              </a:lnTo>
              <a:lnTo>
                <a:pt x="1482734" y="2668735"/>
              </a:lnTo>
              <a:lnTo>
                <a:pt x="1484955" y="2661576"/>
              </a:lnTo>
              <a:lnTo>
                <a:pt x="1487437" y="2650633"/>
              </a:lnTo>
              <a:lnTo>
                <a:pt x="1489441" y="2641543"/>
              </a:lnTo>
              <a:lnTo>
                <a:pt x="1491749" y="2630713"/>
              </a:lnTo>
              <a:lnTo>
                <a:pt x="1494391" y="2618176"/>
              </a:lnTo>
              <a:lnTo>
                <a:pt x="1497399" y="2603964"/>
              </a:lnTo>
              <a:lnTo>
                <a:pt x="1500793" y="2587967"/>
              </a:lnTo>
              <a:lnTo>
                <a:pt x="1504552" y="2570209"/>
              </a:lnTo>
              <a:lnTo>
                <a:pt x="1508646" y="2550919"/>
              </a:lnTo>
              <a:lnTo>
                <a:pt x="1517735" y="2508486"/>
              </a:lnTo>
              <a:lnTo>
                <a:pt x="1528060" y="2460669"/>
              </a:lnTo>
              <a:lnTo>
                <a:pt x="1533737" y="2434670"/>
              </a:lnTo>
              <a:lnTo>
                <a:pt x="1539632" y="2407414"/>
              </a:lnTo>
              <a:lnTo>
                <a:pt x="1552451" y="2348723"/>
              </a:lnTo>
              <a:lnTo>
                <a:pt x="1568235" y="2282721"/>
              </a:lnTo>
              <a:lnTo>
                <a:pt x="1586986" y="2209407"/>
              </a:lnTo>
              <a:lnTo>
                <a:pt x="1597355" y="2170412"/>
              </a:lnTo>
              <a:lnTo>
                <a:pt x="1608423" y="2129798"/>
              </a:lnTo>
              <a:lnTo>
                <a:pt x="1620187" y="2087532"/>
              </a:lnTo>
              <a:lnTo>
                <a:pt x="1632548" y="2043893"/>
              </a:lnTo>
              <a:lnTo>
                <a:pt x="1645405" y="1999158"/>
              </a:lnTo>
              <a:lnTo>
                <a:pt x="1658802" y="1953155"/>
              </a:lnTo>
              <a:lnTo>
                <a:pt x="1672768" y="1905816"/>
              </a:lnTo>
              <a:lnTo>
                <a:pt x="1687186" y="1857584"/>
              </a:lnTo>
              <a:lnTo>
                <a:pt x="1701938" y="1808903"/>
              </a:lnTo>
              <a:lnTo>
                <a:pt x="1716982" y="1759621"/>
              </a:lnTo>
              <a:lnTo>
                <a:pt x="1732385" y="1709592"/>
              </a:lnTo>
              <a:lnTo>
                <a:pt x="1748191" y="1659265"/>
              </a:lnTo>
              <a:lnTo>
                <a:pt x="1764447" y="1609089"/>
              </a:lnTo>
              <a:lnTo>
                <a:pt x="1781290" y="1558876"/>
              </a:lnTo>
              <a:lnTo>
                <a:pt x="1798655" y="1508488"/>
              </a:lnTo>
              <a:lnTo>
                <a:pt x="1816280" y="1458454"/>
              </a:lnTo>
              <a:lnTo>
                <a:pt x="1833905" y="1409303"/>
              </a:lnTo>
              <a:lnTo>
                <a:pt x="1851596" y="1360921"/>
              </a:lnTo>
              <a:lnTo>
                <a:pt x="1869446" y="1313111"/>
              </a:lnTo>
              <a:lnTo>
                <a:pt x="1887238" y="1266274"/>
              </a:lnTo>
              <a:lnTo>
                <a:pt x="1904754" y="1220814"/>
              </a:lnTo>
              <a:lnTo>
                <a:pt x="1922001" y="1176737"/>
              </a:lnTo>
              <a:lnTo>
                <a:pt x="1939073" y="1133863"/>
              </a:lnTo>
              <a:lnTo>
                <a:pt x="1955886" y="1092310"/>
              </a:lnTo>
              <a:lnTo>
                <a:pt x="1972359" y="1052196"/>
              </a:lnTo>
              <a:lnTo>
                <a:pt x="1988592" y="1013449"/>
              </a:lnTo>
              <a:lnTo>
                <a:pt x="2004588" y="976041"/>
              </a:lnTo>
              <a:lnTo>
                <a:pt x="2020118" y="940156"/>
              </a:lnTo>
              <a:lnTo>
                <a:pt x="2049109" y="873445"/>
              </a:lnTo>
              <a:lnTo>
                <a:pt x="2075565" y="813318"/>
              </a:lnTo>
              <a:lnTo>
                <a:pt x="2098910" y="760898"/>
              </a:lnTo>
              <a:lnTo>
                <a:pt x="2119144" y="716184"/>
              </a:lnTo>
              <a:lnTo>
                <a:pt x="2128041" y="696523"/>
              </a:lnTo>
              <a:lnTo>
                <a:pt x="2136064" y="678643"/>
              </a:lnTo>
              <a:lnTo>
                <a:pt x="2143246" y="662572"/>
              </a:lnTo>
              <a:lnTo>
                <a:pt x="2149672" y="648274"/>
              </a:lnTo>
              <a:lnTo>
                <a:pt x="2168674" y="608129"/>
              </a:lnTo>
              <a:lnTo>
                <a:pt x="2176658" y="597220"/>
              </a:lnTo>
              <a:lnTo>
                <a:pt x="2176299" y="602530"/>
              </a:lnTo>
              <a:lnTo>
                <a:pt x="2166140" y="647487"/>
              </a:lnTo>
              <a:lnTo>
                <a:pt x="2151654" y="697139"/>
              </a:lnTo>
              <a:lnTo>
                <a:pt x="2137584" y="739669"/>
              </a:lnTo>
              <a:lnTo>
                <a:pt x="2119971" y="789981"/>
              </a:lnTo>
              <a:lnTo>
                <a:pt x="2098661" y="848328"/>
              </a:lnTo>
              <a:lnTo>
                <a:pt x="2073790" y="914653"/>
              </a:lnTo>
              <a:lnTo>
                <a:pt x="2060112" y="950830"/>
              </a:lnTo>
              <a:lnTo>
                <a:pt x="2045594" y="989014"/>
              </a:lnTo>
              <a:lnTo>
                <a:pt x="2030133" y="1029180"/>
              </a:lnTo>
              <a:lnTo>
                <a:pt x="2013623" y="1071307"/>
              </a:lnTo>
              <a:lnTo>
                <a:pt x="1995972" y="1115559"/>
              </a:lnTo>
              <a:lnTo>
                <a:pt x="1977256" y="1161891"/>
              </a:lnTo>
              <a:lnTo>
                <a:pt x="1957629" y="1209965"/>
              </a:lnTo>
              <a:lnTo>
                <a:pt x="1937243" y="1259442"/>
              </a:lnTo>
              <a:lnTo>
                <a:pt x="1920455" y="1300052"/>
              </a:lnTo>
              <a:lnTo>
                <a:pt x="1903191" y="1341705"/>
              </a:lnTo>
              <a:lnTo>
                <a:pt x="1885388" y="1384292"/>
              </a:lnTo>
              <a:lnTo>
                <a:pt x="1866983" y="1427705"/>
              </a:lnTo>
              <a:lnTo>
                <a:pt x="1847911" y="1471837"/>
              </a:lnTo>
              <a:lnTo>
                <a:pt x="1827995" y="1516881"/>
              </a:lnTo>
              <a:lnTo>
                <a:pt x="1807279" y="1562909"/>
              </a:lnTo>
              <a:lnTo>
                <a:pt x="1786027" y="1609631"/>
              </a:lnTo>
              <a:lnTo>
                <a:pt x="1764505" y="1656756"/>
              </a:lnTo>
              <a:lnTo>
                <a:pt x="1742978" y="1703995"/>
              </a:lnTo>
              <a:lnTo>
                <a:pt x="1721422" y="1751518"/>
              </a:lnTo>
              <a:lnTo>
                <a:pt x="1699662" y="1799516"/>
              </a:lnTo>
              <a:lnTo>
                <a:pt x="1677731" y="1847738"/>
              </a:lnTo>
              <a:lnTo>
                <a:pt x="1655664" y="1895927"/>
              </a:lnTo>
              <a:lnTo>
                <a:pt x="1633495" y="1943830"/>
              </a:lnTo>
              <a:lnTo>
                <a:pt x="1611128" y="1991732"/>
              </a:lnTo>
              <a:lnTo>
                <a:pt x="1588538" y="2039801"/>
              </a:lnTo>
              <a:lnTo>
                <a:pt x="1565872" y="2087612"/>
              </a:lnTo>
              <a:lnTo>
                <a:pt x="1543278" y="2134738"/>
              </a:lnTo>
              <a:lnTo>
                <a:pt x="1520901" y="2180753"/>
              </a:lnTo>
              <a:lnTo>
                <a:pt x="1498597" y="2225820"/>
              </a:lnTo>
              <a:lnTo>
                <a:pt x="1476269" y="2270224"/>
              </a:lnTo>
              <a:lnTo>
                <a:pt x="1454133" y="2313720"/>
              </a:lnTo>
              <a:lnTo>
                <a:pt x="1432406" y="2356061"/>
              </a:lnTo>
              <a:lnTo>
                <a:pt x="1411304" y="2397003"/>
              </a:lnTo>
              <a:lnTo>
                <a:pt x="1385688" y="2446424"/>
              </a:lnTo>
              <a:lnTo>
                <a:pt x="1360760" y="2494039"/>
              </a:lnTo>
              <a:lnTo>
                <a:pt x="1336711" y="2539473"/>
              </a:lnTo>
              <a:lnTo>
                <a:pt x="1313734" y="2582355"/>
              </a:lnTo>
              <a:lnTo>
                <a:pt x="1291762" y="2622673"/>
              </a:lnTo>
              <a:lnTo>
                <a:pt x="1270732" y="2660598"/>
              </a:lnTo>
              <a:lnTo>
                <a:pt x="1250839" y="2696025"/>
              </a:lnTo>
              <a:lnTo>
                <a:pt x="1215004" y="2759141"/>
              </a:lnTo>
              <a:lnTo>
                <a:pt x="1184256" y="2812022"/>
              </a:lnTo>
              <a:lnTo>
                <a:pt x="1159589" y="2853632"/>
              </a:lnTo>
              <a:lnTo>
                <a:pt x="1133725" y="2894704"/>
              </a:lnTo>
              <a:lnTo>
                <a:pt x="1120345" y="2909930"/>
              </a:lnTo>
              <a:lnTo>
                <a:pt x="1117828" y="2907829"/>
              </a:lnTo>
              <a:lnTo>
                <a:pt x="1116546" y="2904899"/>
              </a:lnTo>
              <a:lnTo>
                <a:pt x="1116363" y="2899447"/>
              </a:lnTo>
              <a:lnTo>
                <a:pt x="1117111" y="2891753"/>
              </a:lnTo>
              <a:lnTo>
                <a:pt x="1127960" y="2840736"/>
              </a:lnTo>
              <a:lnTo>
                <a:pt x="1143398" y="2784584"/>
              </a:lnTo>
              <a:lnTo>
                <a:pt x="1157007" y="2738970"/>
              </a:lnTo>
              <a:lnTo>
                <a:pt x="1173563" y="2685660"/>
              </a:lnTo>
              <a:lnTo>
                <a:pt x="1192420" y="2626698"/>
              </a:lnTo>
              <a:lnTo>
                <a:pt x="1212729" y="2564416"/>
              </a:lnTo>
              <a:lnTo>
                <a:pt x="1235360" y="2496958"/>
              </a:lnTo>
              <a:lnTo>
                <a:pt x="1247862" y="2460648"/>
              </a:lnTo>
              <a:lnTo>
                <a:pt x="1261082" y="2422753"/>
              </a:lnTo>
              <a:lnTo>
                <a:pt x="1274939" y="2383540"/>
              </a:lnTo>
              <a:lnTo>
                <a:pt x="1289350" y="2343276"/>
              </a:lnTo>
              <a:lnTo>
                <a:pt x="1304437" y="2301600"/>
              </a:lnTo>
              <a:lnTo>
                <a:pt x="1320194" y="2258513"/>
              </a:lnTo>
              <a:lnTo>
                <a:pt x="1336356" y="2214826"/>
              </a:lnTo>
              <a:lnTo>
                <a:pt x="1352655" y="2171350"/>
              </a:lnTo>
              <a:lnTo>
                <a:pt x="1369128" y="2127974"/>
              </a:lnTo>
              <a:lnTo>
                <a:pt x="1385881" y="2084376"/>
              </a:lnTo>
              <a:lnTo>
                <a:pt x="1402752" y="2041044"/>
              </a:lnTo>
              <a:lnTo>
                <a:pt x="1419579" y="1998467"/>
              </a:lnTo>
              <a:lnTo>
                <a:pt x="1436452" y="1956604"/>
              </a:lnTo>
              <a:lnTo>
                <a:pt x="1453413" y="1915251"/>
              </a:lnTo>
              <a:lnTo>
                <a:pt x="1470227" y="1874654"/>
              </a:lnTo>
              <a:lnTo>
                <a:pt x="1486660" y="1835056"/>
              </a:lnTo>
              <a:lnTo>
                <a:pt x="1502752" y="1796307"/>
              </a:lnTo>
              <a:lnTo>
                <a:pt x="1518592" y="1758347"/>
              </a:lnTo>
              <a:lnTo>
                <a:pt x="1534026" y="1721563"/>
              </a:lnTo>
              <a:lnTo>
                <a:pt x="1548901" y="1686340"/>
              </a:lnTo>
              <a:lnTo>
                <a:pt x="1576985" y="1620458"/>
              </a:lnTo>
              <a:lnTo>
                <a:pt x="1603001" y="1560532"/>
              </a:lnTo>
              <a:lnTo>
                <a:pt x="1627021" y="1506707"/>
              </a:lnTo>
              <a:lnTo>
                <a:pt x="1648697" y="1459466"/>
              </a:lnTo>
              <a:lnTo>
                <a:pt x="1667716" y="1419098"/>
              </a:lnTo>
              <a:lnTo>
                <a:pt x="1691174" y="1373107"/>
              </a:lnTo>
              <a:lnTo>
                <a:pt x="1714104" y="1338699"/>
              </a:lnTo>
              <a:lnTo>
                <a:pt x="1717624" y="1337568"/>
              </a:lnTo>
              <a:lnTo>
                <a:pt x="1719428" y="1342065"/>
              </a:lnTo>
              <a:lnTo>
                <a:pt x="1720394" y="1346610"/>
              </a:lnTo>
              <a:lnTo>
                <a:pt x="1720618" y="1353394"/>
              </a:lnTo>
              <a:lnTo>
                <a:pt x="1720147" y="1362262"/>
              </a:lnTo>
              <a:lnTo>
                <a:pt x="1714710" y="1400670"/>
              </a:lnTo>
              <a:lnTo>
                <a:pt x="1703996" y="1455787"/>
              </a:lnTo>
              <a:lnTo>
                <a:pt x="1694379" y="1501135"/>
              </a:lnTo>
              <a:lnTo>
                <a:pt x="1682438" y="1553012"/>
              </a:lnTo>
              <a:lnTo>
                <a:pt x="1668173" y="1611417"/>
              </a:lnTo>
              <a:lnTo>
                <a:pt x="1660462" y="1642869"/>
              </a:lnTo>
              <a:lnTo>
                <a:pt x="1652489" y="1675855"/>
              </a:lnTo>
              <a:lnTo>
                <a:pt x="1644168" y="1710395"/>
              </a:lnTo>
              <a:lnTo>
                <a:pt x="1635386" y="1746325"/>
              </a:lnTo>
              <a:lnTo>
                <a:pt x="1626031" y="1783482"/>
              </a:lnTo>
              <a:lnTo>
                <a:pt x="1616078" y="1822074"/>
              </a:lnTo>
              <a:lnTo>
                <a:pt x="1605585" y="1862105"/>
              </a:lnTo>
              <a:lnTo>
                <a:pt x="1594564" y="1903101"/>
              </a:lnTo>
              <a:lnTo>
                <a:pt x="1583027" y="1944590"/>
              </a:lnTo>
              <a:lnTo>
                <a:pt x="1570863" y="1986842"/>
              </a:lnTo>
              <a:lnTo>
                <a:pt x="1558105" y="2029977"/>
              </a:lnTo>
              <a:lnTo>
                <a:pt x="1544976" y="2073295"/>
              </a:lnTo>
              <a:lnTo>
                <a:pt x="1531700" y="2116099"/>
              </a:lnTo>
              <a:lnTo>
                <a:pt x="1518170" y="2158428"/>
              </a:lnTo>
              <a:lnTo>
                <a:pt x="1504320" y="2200578"/>
              </a:lnTo>
              <a:lnTo>
                <a:pt x="1490444" y="2242238"/>
              </a:lnTo>
              <a:lnTo>
                <a:pt x="1476835" y="2283093"/>
              </a:lnTo>
              <a:lnTo>
                <a:pt x="1463477" y="2323238"/>
              </a:lnTo>
              <a:lnTo>
                <a:pt x="1450246" y="2362781"/>
              </a:lnTo>
              <a:lnTo>
                <a:pt x="1437267" y="2401427"/>
              </a:lnTo>
              <a:lnTo>
                <a:pt x="1424664" y="2438880"/>
              </a:lnTo>
              <a:lnTo>
                <a:pt x="1412410" y="2475248"/>
              </a:lnTo>
              <a:lnTo>
                <a:pt x="1388906" y="2544700"/>
              </a:lnTo>
              <a:lnTo>
                <a:pt x="1367228" y="2608052"/>
              </a:lnTo>
              <a:lnTo>
                <a:pt x="1347376" y="2665304"/>
              </a:lnTo>
              <a:lnTo>
                <a:pt x="1338425" y="2691282"/>
              </a:lnTo>
              <a:lnTo>
                <a:pt x="1322529" y="2738086"/>
              </a:lnTo>
              <a:lnTo>
                <a:pt x="1309402" y="2777162"/>
              </a:lnTo>
              <a:lnTo>
                <a:pt x="1295327" y="2819891"/>
              </a:lnTo>
              <a:lnTo>
                <a:pt x="1292132" y="2829461"/>
              </a:lnTo>
              <a:lnTo>
                <a:pt x="1288385" y="2840455"/>
              </a:lnTo>
              <a:lnTo>
                <a:pt x="1286964" y="2844604"/>
              </a:lnTo>
              <a:lnTo>
                <a:pt x="1286918" y="2843120"/>
              </a:lnTo>
              <a:lnTo>
                <a:pt x="1286872" y="2841635"/>
              </a:lnTo>
              <a:lnTo>
                <a:pt x="1288965" y="2833156"/>
              </a:lnTo>
              <a:lnTo>
                <a:pt x="1291859" y="2820555"/>
              </a:lnTo>
              <a:lnTo>
                <a:pt x="1294210" y="2810077"/>
              </a:lnTo>
              <a:lnTo>
                <a:pt x="1296993" y="2797644"/>
              </a:lnTo>
              <a:lnTo>
                <a:pt x="1300314" y="2783407"/>
              </a:lnTo>
              <a:lnTo>
                <a:pt x="1304279" y="2767514"/>
              </a:lnTo>
              <a:lnTo>
                <a:pt x="1308993" y="2749845"/>
              </a:lnTo>
              <a:lnTo>
                <a:pt x="1314374" y="2730373"/>
              </a:lnTo>
              <a:lnTo>
                <a:pt x="1320245" y="2709391"/>
              </a:lnTo>
              <a:lnTo>
                <a:pt x="1326431" y="2687191"/>
              </a:lnTo>
              <a:lnTo>
                <a:pt x="1332817" y="2663855"/>
              </a:lnTo>
              <a:lnTo>
                <a:pt x="1339519" y="2639225"/>
              </a:lnTo>
              <a:lnTo>
                <a:pt x="1346706" y="2613236"/>
              </a:lnTo>
              <a:lnTo>
                <a:pt x="1363176" y="2556746"/>
              </a:lnTo>
              <a:lnTo>
                <a:pt x="1382228" y="2494386"/>
              </a:lnTo>
              <a:lnTo>
                <a:pt x="1392208" y="2462000"/>
              </a:lnTo>
              <a:lnTo>
                <a:pt x="1402343" y="2428910"/>
              </a:lnTo>
              <a:lnTo>
                <a:pt x="1423522" y="2360320"/>
              </a:lnTo>
              <a:lnTo>
                <a:pt x="1446497" y="2289775"/>
              </a:lnTo>
              <a:lnTo>
                <a:pt x="1458758" y="2253621"/>
              </a:lnTo>
              <a:lnTo>
                <a:pt x="1471268" y="2217275"/>
              </a:lnTo>
              <a:lnTo>
                <a:pt x="1483786" y="2181150"/>
              </a:lnTo>
              <a:lnTo>
                <a:pt x="1496377" y="2145177"/>
              </a:lnTo>
              <a:lnTo>
                <a:pt x="1509125" y="2109196"/>
              </a:lnTo>
              <a:lnTo>
                <a:pt x="1521823" y="2073479"/>
              </a:lnTo>
              <a:lnTo>
                <a:pt x="1534263" y="2038299"/>
              </a:lnTo>
              <a:lnTo>
                <a:pt x="1546452" y="2003508"/>
              </a:lnTo>
              <a:lnTo>
                <a:pt x="1558479" y="1969035"/>
              </a:lnTo>
              <a:lnTo>
                <a:pt x="1570265" y="1935262"/>
              </a:lnTo>
              <a:lnTo>
                <a:pt x="1592898" y="1870920"/>
              </a:lnTo>
              <a:lnTo>
                <a:pt x="1614353" y="1810483"/>
              </a:lnTo>
              <a:lnTo>
                <a:pt x="1634206" y="1755035"/>
              </a:lnTo>
              <a:lnTo>
                <a:pt x="1652455" y="1704575"/>
              </a:lnTo>
              <a:lnTo>
                <a:pt x="1668758" y="1660645"/>
              </a:lnTo>
              <a:lnTo>
                <a:pt x="1683113" y="1623246"/>
              </a:lnTo>
              <a:lnTo>
                <a:pt x="1689471" y="1606782"/>
              </a:lnTo>
              <a:lnTo>
                <a:pt x="1695274" y="1591581"/>
              </a:lnTo>
              <a:lnTo>
                <a:pt x="1709346" y="1555684"/>
              </a:lnTo>
              <a:lnTo>
                <a:pt x="1721734" y="1535252"/>
              </a:lnTo>
              <a:lnTo>
                <a:pt x="1722022" y="1539231"/>
              </a:lnTo>
              <a:lnTo>
                <a:pt x="1711582" y="1588934"/>
              </a:lnTo>
              <a:lnTo>
                <a:pt x="1699332" y="1637835"/>
              </a:lnTo>
              <a:lnTo>
                <a:pt x="1688786" y="1677764"/>
              </a:lnTo>
              <a:lnTo>
                <a:pt x="1676376" y="1723319"/>
              </a:lnTo>
              <a:lnTo>
                <a:pt x="1661505" y="1775256"/>
              </a:lnTo>
              <a:lnTo>
                <a:pt x="1644175" y="1833575"/>
              </a:lnTo>
              <a:lnTo>
                <a:pt x="1635012" y="1864945"/>
              </a:lnTo>
              <a:lnTo>
                <a:pt x="1615797" y="1932531"/>
              </a:lnTo>
              <a:lnTo>
                <a:pt x="1595415" y="2005003"/>
              </a:lnTo>
              <a:lnTo>
                <a:pt x="1584817" y="2042750"/>
              </a:lnTo>
              <a:lnTo>
                <a:pt x="1573922" y="2081672"/>
              </a:lnTo>
              <a:lnTo>
                <a:pt x="1562867" y="2121153"/>
              </a:lnTo>
              <a:lnTo>
                <a:pt x="1551790" y="2160577"/>
              </a:lnTo>
              <a:lnTo>
                <a:pt x="1540639" y="2200042"/>
              </a:lnTo>
              <a:lnTo>
                <a:pt x="1529368" y="2239790"/>
              </a:lnTo>
              <a:lnTo>
                <a:pt x="1518132" y="2279417"/>
              </a:lnTo>
              <a:lnTo>
                <a:pt x="1507085" y="2318522"/>
              </a:lnTo>
              <a:lnTo>
                <a:pt x="1496184" y="2357187"/>
              </a:lnTo>
              <a:lnTo>
                <a:pt x="1485376" y="2395565"/>
              </a:lnTo>
              <a:lnTo>
                <a:pt x="1474795" y="2433351"/>
              </a:lnTo>
              <a:lnTo>
                <a:pt x="1464577" y="2470243"/>
              </a:lnTo>
              <a:lnTo>
                <a:pt x="1445092" y="2541912"/>
              </a:lnTo>
              <a:lnTo>
                <a:pt x="1427152" y="2609258"/>
              </a:lnTo>
              <a:lnTo>
                <a:pt x="1411179" y="2670817"/>
              </a:lnTo>
              <a:lnTo>
                <a:pt x="1397010" y="2726391"/>
              </a:lnTo>
              <a:lnTo>
                <a:pt x="1390507" y="2751785"/>
              </a:lnTo>
              <a:lnTo>
                <a:pt x="1378841" y="2797698"/>
              </a:lnTo>
              <a:lnTo>
                <a:pt x="1369902" y="2835207"/>
              </a:lnTo>
              <a:lnTo>
                <a:pt x="1361740" y="2875315"/>
              </a:lnTo>
              <a:lnTo>
                <a:pt x="1359659" y="2894491"/>
              </a:lnTo>
              <a:lnTo>
                <a:pt x="1361777" y="2895262"/>
              </a:lnTo>
              <a:lnTo>
                <a:pt x="1363895" y="2896032"/>
              </a:lnTo>
              <a:lnTo>
                <a:pt x="1367909" y="2890251"/>
              </a:lnTo>
              <a:lnTo>
                <a:pt x="1393184" y="2847661"/>
              </a:lnTo>
              <a:lnTo>
                <a:pt x="1418819" y="2800017"/>
              </a:lnTo>
              <a:lnTo>
                <a:pt x="1439713" y="2759686"/>
              </a:lnTo>
              <a:lnTo>
                <a:pt x="1463662" y="2711961"/>
              </a:lnTo>
              <a:lnTo>
                <a:pt x="1476834" y="2685477"/>
              </a:lnTo>
              <a:lnTo>
                <a:pt x="1490886" y="2657405"/>
              </a:lnTo>
              <a:lnTo>
                <a:pt x="1505790" y="2627666"/>
              </a:lnTo>
              <a:lnTo>
                <a:pt x="1521528" y="2596236"/>
              </a:lnTo>
              <a:lnTo>
                <a:pt x="1538174" y="2563303"/>
              </a:lnTo>
              <a:lnTo>
                <a:pt x="1555799" y="2529059"/>
              </a:lnTo>
              <a:lnTo>
                <a:pt x="1574458" y="2493477"/>
              </a:lnTo>
              <a:lnTo>
                <a:pt x="1594101" y="2456480"/>
              </a:lnTo>
              <a:lnTo>
                <a:pt x="1614642" y="2418188"/>
              </a:lnTo>
              <a:lnTo>
                <a:pt x="1635996" y="2378719"/>
              </a:lnTo>
              <a:lnTo>
                <a:pt x="1658223" y="2337910"/>
              </a:lnTo>
              <a:lnTo>
                <a:pt x="1681341" y="2295762"/>
              </a:lnTo>
              <a:lnTo>
                <a:pt x="1705201" y="2252643"/>
              </a:lnTo>
              <a:lnTo>
                <a:pt x="1729651" y="2208918"/>
              </a:lnTo>
              <a:lnTo>
                <a:pt x="1754860" y="2164396"/>
              </a:lnTo>
              <a:lnTo>
                <a:pt x="1780838" y="2118978"/>
              </a:lnTo>
              <a:lnTo>
                <a:pt x="1807201" y="2073169"/>
              </a:lnTo>
              <a:lnTo>
                <a:pt x="1833564" y="2027471"/>
              </a:lnTo>
              <a:lnTo>
                <a:pt x="1859929" y="1981916"/>
              </a:lnTo>
              <a:lnTo>
                <a:pt x="1886466" y="1936268"/>
              </a:lnTo>
              <a:lnTo>
                <a:pt x="1913044" y="1890636"/>
              </a:lnTo>
              <a:lnTo>
                <a:pt x="1939528" y="1845126"/>
              </a:lnTo>
              <a:lnTo>
                <a:pt x="1966003" y="1799509"/>
              </a:lnTo>
              <a:lnTo>
                <a:pt x="1992500" y="1753811"/>
              </a:lnTo>
              <a:lnTo>
                <a:pt x="2018806" y="1708533"/>
              </a:lnTo>
              <a:lnTo>
                <a:pt x="2044711" y="1664171"/>
              </a:lnTo>
              <a:lnTo>
                <a:pt x="2070323" y="1620619"/>
              </a:lnTo>
              <a:lnTo>
                <a:pt x="2095702" y="1577691"/>
              </a:lnTo>
              <a:lnTo>
                <a:pt x="2120554" y="1535768"/>
              </a:lnTo>
              <a:lnTo>
                <a:pt x="2144589" y="1495231"/>
              </a:lnTo>
              <a:lnTo>
                <a:pt x="2167860" y="1456091"/>
              </a:lnTo>
              <a:lnTo>
                <a:pt x="2190480" y="1418176"/>
              </a:lnTo>
              <a:lnTo>
                <a:pt x="2212241" y="1381590"/>
              </a:lnTo>
              <a:lnTo>
                <a:pt x="2232939" y="1346440"/>
              </a:lnTo>
              <a:lnTo>
                <a:pt x="2252565" y="1312615"/>
              </a:lnTo>
              <a:lnTo>
                <a:pt x="2288832" y="1249169"/>
              </a:lnTo>
              <a:lnTo>
                <a:pt x="2320836" y="1192627"/>
              </a:lnTo>
              <a:lnTo>
                <a:pt x="2335253" y="1166817"/>
              </a:lnTo>
              <a:lnTo>
                <a:pt x="2348577" y="1142988"/>
              </a:lnTo>
              <a:lnTo>
                <a:pt x="2371867" y="1102236"/>
              </a:lnTo>
              <a:lnTo>
                <a:pt x="2398230" y="1058473"/>
              </a:lnTo>
              <a:lnTo>
                <a:pt x="2415496" y="1038507"/>
              </a:lnTo>
              <a:lnTo>
                <a:pt x="2418269" y="1038705"/>
              </a:lnTo>
              <a:lnTo>
                <a:pt x="2408662" y="1084599"/>
              </a:lnTo>
              <a:lnTo>
                <a:pt x="2392765" y="1139434"/>
              </a:lnTo>
              <a:lnTo>
                <a:pt x="2385727" y="1162359"/>
              </a:lnTo>
              <a:lnTo>
                <a:pt x="2378028" y="1187448"/>
              </a:lnTo>
              <a:lnTo>
                <a:pt x="2361334" y="1243739"/>
              </a:lnTo>
              <a:lnTo>
                <a:pt x="2342686" y="1308307"/>
              </a:lnTo>
              <a:lnTo>
                <a:pt x="2322580" y="1379145"/>
              </a:lnTo>
              <a:lnTo>
                <a:pt x="2311949" y="1416982"/>
              </a:lnTo>
              <a:lnTo>
                <a:pt x="2301018" y="1456253"/>
              </a:lnTo>
              <a:lnTo>
                <a:pt x="2289888" y="1496733"/>
              </a:lnTo>
              <a:lnTo>
                <a:pt x="2278535" y="1538674"/>
              </a:lnTo>
              <a:lnTo>
                <a:pt x="2266923" y="1582093"/>
              </a:lnTo>
              <a:lnTo>
                <a:pt x="2255130" y="1626410"/>
              </a:lnTo>
              <a:lnTo>
                <a:pt x="2243236" y="1671044"/>
              </a:lnTo>
              <a:lnTo>
                <a:pt x="2231113" y="1716230"/>
              </a:lnTo>
              <a:lnTo>
                <a:pt x="2218769" y="1762146"/>
              </a:lnTo>
              <a:lnTo>
                <a:pt x="2206486" y="1808134"/>
              </a:lnTo>
              <a:lnTo>
                <a:pt x="2194548" y="1853536"/>
              </a:lnTo>
              <a:lnTo>
                <a:pt x="2182987" y="1898459"/>
              </a:lnTo>
              <a:lnTo>
                <a:pt x="2171666" y="1943159"/>
              </a:lnTo>
              <a:lnTo>
                <a:pt x="2160618" y="1987203"/>
              </a:lnTo>
              <a:lnTo>
                <a:pt x="2149878" y="2030155"/>
              </a:lnTo>
              <a:lnTo>
                <a:pt x="2139385" y="2072145"/>
              </a:lnTo>
              <a:lnTo>
                <a:pt x="2129145" y="2113321"/>
              </a:lnTo>
              <a:lnTo>
                <a:pt x="2119289" y="2153284"/>
              </a:lnTo>
              <a:lnTo>
                <a:pt x="2109948" y="2191634"/>
              </a:lnTo>
              <a:lnTo>
                <a:pt x="2092802" y="2263913"/>
              </a:lnTo>
              <a:lnTo>
                <a:pt x="2077555" y="2329431"/>
              </a:lnTo>
              <a:lnTo>
                <a:pt x="2064205" y="2387016"/>
              </a:lnTo>
              <a:lnTo>
                <a:pt x="2052816" y="2436821"/>
              </a:lnTo>
              <a:lnTo>
                <a:pt x="2047801" y="2458850"/>
              </a:lnTo>
              <a:lnTo>
                <a:pt x="2039275" y="2496938"/>
              </a:lnTo>
              <a:lnTo>
                <a:pt x="2032061" y="2535820"/>
              </a:lnTo>
              <a:lnTo>
                <a:pt x="2031125" y="2549440"/>
              </a:lnTo>
              <a:lnTo>
                <a:pt x="2031661" y="2555109"/>
              </a:lnTo>
              <a:lnTo>
                <a:pt x="2055394" y="2517320"/>
              </a:lnTo>
              <a:lnTo>
                <a:pt x="2078882" y="2466484"/>
              </a:lnTo>
              <a:lnTo>
                <a:pt x="2098842" y="2420265"/>
              </a:lnTo>
              <a:lnTo>
                <a:pt x="2122268" y="2364197"/>
              </a:lnTo>
              <a:lnTo>
                <a:pt x="2135541" y="2332112"/>
              </a:lnTo>
              <a:lnTo>
                <a:pt x="2150256" y="2296782"/>
              </a:lnTo>
              <a:lnTo>
                <a:pt x="2166626" y="2258043"/>
              </a:lnTo>
              <a:lnTo>
                <a:pt x="2184445" y="2216132"/>
              </a:lnTo>
              <a:lnTo>
                <a:pt x="2203390" y="2171239"/>
              </a:lnTo>
              <a:lnTo>
                <a:pt x="2223136" y="2123557"/>
              </a:lnTo>
              <a:lnTo>
                <a:pt x="2239501" y="2083252"/>
              </a:lnTo>
              <a:lnTo>
                <a:pt x="2256491" y="2040939"/>
              </a:lnTo>
              <a:lnTo>
                <a:pt x="2274042" y="1996891"/>
              </a:lnTo>
              <a:lnTo>
                <a:pt x="2292089" y="1951383"/>
              </a:lnTo>
              <a:lnTo>
                <a:pt x="2310567" y="1904689"/>
              </a:lnTo>
              <a:lnTo>
                <a:pt x="2329531" y="1856650"/>
              </a:lnTo>
              <a:lnTo>
                <a:pt x="2349022" y="1807085"/>
              </a:lnTo>
              <a:lnTo>
                <a:pt x="2368962" y="1756230"/>
              </a:lnTo>
              <a:lnTo>
                <a:pt x="2389268" y="1704324"/>
              </a:lnTo>
              <a:lnTo>
                <a:pt x="2409860" y="1651604"/>
              </a:lnTo>
              <a:lnTo>
                <a:pt x="2427309" y="1606805"/>
              </a:lnTo>
              <a:lnTo>
                <a:pt x="2445083" y="1561024"/>
              </a:lnTo>
              <a:lnTo>
                <a:pt x="2463092" y="1514569"/>
              </a:lnTo>
              <a:lnTo>
                <a:pt x="2481250" y="1467744"/>
              </a:lnTo>
              <a:lnTo>
                <a:pt x="2499466" y="1420857"/>
              </a:lnTo>
              <a:lnTo>
                <a:pt x="2517654" y="1374213"/>
              </a:lnTo>
              <a:lnTo>
                <a:pt x="2535924" y="1327536"/>
              </a:lnTo>
              <a:lnTo>
                <a:pt x="2554371" y="1280526"/>
              </a:lnTo>
              <a:lnTo>
                <a:pt x="2572877" y="1233452"/>
              </a:lnTo>
              <a:lnTo>
                <a:pt x="2591325" y="1186587"/>
              </a:lnTo>
              <a:lnTo>
                <a:pt x="2609599" y="1140201"/>
              </a:lnTo>
              <a:lnTo>
                <a:pt x="2627581" y="1094565"/>
              </a:lnTo>
              <a:lnTo>
                <a:pt x="2645404" y="1049405"/>
              </a:lnTo>
              <a:lnTo>
                <a:pt x="2663185" y="1004450"/>
              </a:lnTo>
              <a:lnTo>
                <a:pt x="2680793" y="959974"/>
              </a:lnTo>
              <a:lnTo>
                <a:pt x="2698092" y="916251"/>
              </a:lnTo>
              <a:lnTo>
                <a:pt x="2714950" y="873558"/>
              </a:lnTo>
              <a:lnTo>
                <a:pt x="2731233" y="832167"/>
              </a:lnTo>
              <a:lnTo>
                <a:pt x="2750090" y="784022"/>
              </a:lnTo>
              <a:lnTo>
                <a:pt x="2768344" y="737249"/>
              </a:lnTo>
              <a:lnTo>
                <a:pt x="2785946" y="692012"/>
              </a:lnTo>
              <a:lnTo>
                <a:pt x="2802845" y="648475"/>
              </a:lnTo>
              <a:lnTo>
                <a:pt x="2818989" y="606801"/>
              </a:lnTo>
              <a:lnTo>
                <a:pt x="2838182" y="557181"/>
              </a:lnTo>
              <a:lnTo>
                <a:pt x="2856294" y="510214"/>
              </a:lnTo>
              <a:lnTo>
                <a:pt x="2873192" y="466166"/>
              </a:lnTo>
              <a:lnTo>
                <a:pt x="2888741" y="425304"/>
              </a:lnTo>
              <a:lnTo>
                <a:pt x="2902832" y="387726"/>
              </a:lnTo>
              <a:lnTo>
                <a:pt x="2927103" y="321861"/>
              </a:lnTo>
              <a:lnTo>
                <a:pt x="2937633" y="293354"/>
              </a:lnTo>
              <a:lnTo>
                <a:pt x="2947221" y="267731"/>
              </a:lnTo>
              <a:lnTo>
                <a:pt x="2955765" y="245049"/>
              </a:lnTo>
              <a:lnTo>
                <a:pt x="2963186" y="225334"/>
              </a:lnTo>
              <a:lnTo>
                <a:pt x="2978388" y="184223"/>
              </a:lnTo>
              <a:lnTo>
                <a:pt x="2983111" y="166985"/>
              </a:lnTo>
              <a:lnTo>
                <a:pt x="2980459" y="170177"/>
              </a:lnTo>
              <a:lnTo>
                <a:pt x="2953314" y="217945"/>
              </a:lnTo>
              <a:lnTo>
                <a:pt x="2931800" y="257474"/>
              </a:lnTo>
              <a:lnTo>
                <a:pt x="2918688" y="281783"/>
              </a:lnTo>
              <a:lnTo>
                <a:pt x="2903924" y="308991"/>
              </a:lnTo>
              <a:lnTo>
                <a:pt x="2869196" y="371845"/>
              </a:lnTo>
              <a:lnTo>
                <a:pt x="2849310" y="407591"/>
              </a:lnTo>
              <a:lnTo>
                <a:pt x="2827617" y="446035"/>
              </a:lnTo>
              <a:lnTo>
                <a:pt x="2803982" y="486991"/>
              </a:lnTo>
              <a:lnTo>
                <a:pt x="2778295" y="530523"/>
              </a:lnTo>
              <a:lnTo>
                <a:pt x="2750654" y="576693"/>
              </a:lnTo>
              <a:lnTo>
                <a:pt x="2721232" y="625307"/>
              </a:lnTo>
              <a:lnTo>
                <a:pt x="2690203" y="676171"/>
              </a:lnTo>
              <a:lnTo>
                <a:pt x="2664098" y="718662"/>
              </a:lnTo>
              <a:lnTo>
                <a:pt x="2636774" y="762847"/>
              </a:lnTo>
              <a:lnTo>
                <a:pt x="2608461" y="808406"/>
              </a:lnTo>
              <a:lnTo>
                <a:pt x="2579392" y="855024"/>
              </a:lnTo>
              <a:lnTo>
                <a:pt x="2549796" y="902382"/>
              </a:lnTo>
              <a:lnTo>
                <a:pt x="2524691" y="942464"/>
              </a:lnTo>
              <a:lnTo>
                <a:pt x="2499051" y="983289"/>
              </a:lnTo>
              <a:lnTo>
                <a:pt x="2472939" y="1024774"/>
              </a:lnTo>
              <a:lnTo>
                <a:pt x="2446418" y="1066840"/>
              </a:lnTo>
              <a:lnTo>
                <a:pt x="2419547" y="1109407"/>
              </a:lnTo>
              <a:lnTo>
                <a:pt x="2392391" y="1152392"/>
              </a:lnTo>
              <a:lnTo>
                <a:pt x="2364869" y="1195973"/>
              </a:lnTo>
              <a:lnTo>
                <a:pt x="2336915" y="1240250"/>
              </a:lnTo>
              <a:lnTo>
                <a:pt x="2308613" y="1285026"/>
              </a:lnTo>
              <a:lnTo>
                <a:pt x="2280047" y="1330107"/>
              </a:lnTo>
              <a:lnTo>
                <a:pt x="2251298" y="1375298"/>
              </a:lnTo>
              <a:lnTo>
                <a:pt x="2222450" y="1420403"/>
              </a:lnTo>
              <a:lnTo>
                <a:pt x="2193386" y="1465656"/>
              </a:lnTo>
              <a:lnTo>
                <a:pt x="2164015" y="1511260"/>
              </a:lnTo>
              <a:lnTo>
                <a:pt x="2134462" y="1556974"/>
              </a:lnTo>
              <a:lnTo>
                <a:pt x="2104852" y="1602556"/>
              </a:lnTo>
              <a:lnTo>
                <a:pt x="2075308" y="1647763"/>
              </a:lnTo>
              <a:lnTo>
                <a:pt x="2045957" y="1692354"/>
              </a:lnTo>
              <a:lnTo>
                <a:pt x="2016635" y="1736536"/>
              </a:lnTo>
              <a:lnTo>
                <a:pt x="1987211" y="1780546"/>
              </a:lnTo>
              <a:lnTo>
                <a:pt x="1957855" y="1824181"/>
              </a:lnTo>
              <a:lnTo>
                <a:pt x="1928734" y="1867240"/>
              </a:lnTo>
              <a:lnTo>
                <a:pt x="1900020" y="1909522"/>
              </a:lnTo>
              <a:lnTo>
                <a:pt x="1871879" y="1950823"/>
              </a:lnTo>
              <a:lnTo>
                <a:pt x="1844187" y="1991321"/>
              </a:lnTo>
              <a:lnTo>
                <a:pt x="1816782" y="2031211"/>
              </a:lnTo>
              <a:lnTo>
                <a:pt x="1789783" y="2070322"/>
              </a:lnTo>
              <a:lnTo>
                <a:pt x="1763307" y="2108487"/>
              </a:lnTo>
              <a:lnTo>
                <a:pt x="1737472" y="2145534"/>
              </a:lnTo>
              <a:lnTo>
                <a:pt x="1712394" y="2181294"/>
              </a:lnTo>
              <a:lnTo>
                <a:pt x="1683156" y="2222680"/>
              </a:lnTo>
              <a:lnTo>
                <a:pt x="1654732" y="2262575"/>
              </a:lnTo>
              <a:lnTo>
                <a:pt x="1627285" y="2300802"/>
              </a:lnTo>
              <a:lnTo>
                <a:pt x="1600977" y="2337184"/>
              </a:lnTo>
              <a:lnTo>
                <a:pt x="1575973" y="2371545"/>
              </a:lnTo>
              <a:lnTo>
                <a:pt x="1546497" y="2411607"/>
              </a:lnTo>
              <a:lnTo>
                <a:pt x="1518863" y="2448650"/>
              </a:lnTo>
              <a:lnTo>
                <a:pt x="1493144" y="2482806"/>
              </a:lnTo>
              <a:lnTo>
                <a:pt x="1469413" y="2514205"/>
              </a:lnTo>
              <a:lnTo>
                <a:pt x="1428202" y="2568370"/>
              </a:lnTo>
              <a:lnTo>
                <a:pt x="1394277" y="2612056"/>
              </a:lnTo>
              <a:lnTo>
                <a:pt x="1367009" y="2645949"/>
              </a:lnTo>
              <a:lnTo>
                <a:pt x="1337632" y="2680553"/>
              </a:lnTo>
              <a:lnTo>
                <a:pt x="1316115" y="2699440"/>
              </a:lnTo>
              <a:lnTo>
                <a:pt x="1315760" y="2695364"/>
              </a:lnTo>
              <a:lnTo>
                <a:pt x="1322991" y="2655092"/>
              </a:lnTo>
              <a:lnTo>
                <a:pt x="1336987" y="2605798"/>
              </a:lnTo>
              <a:lnTo>
                <a:pt x="1343327" y="2585013"/>
              </a:lnTo>
              <a:lnTo>
                <a:pt x="1350431" y="2561324"/>
              </a:lnTo>
              <a:lnTo>
                <a:pt x="1358239" y="2534596"/>
              </a:lnTo>
              <a:lnTo>
                <a:pt x="1366793" y="2505083"/>
              </a:lnTo>
              <a:lnTo>
                <a:pt x="1376196" y="2472900"/>
              </a:lnTo>
              <a:lnTo>
                <a:pt x="1397948" y="2400645"/>
              </a:lnTo>
              <a:lnTo>
                <a:pt x="1410310" y="2360382"/>
              </a:lnTo>
              <a:lnTo>
                <a:pt x="1423496" y="2317832"/>
              </a:lnTo>
              <a:lnTo>
                <a:pt x="1437364" y="2273459"/>
              </a:lnTo>
              <a:lnTo>
                <a:pt x="1451744" y="2227401"/>
              </a:lnTo>
              <a:lnTo>
                <a:pt x="1466757" y="2179406"/>
              </a:lnTo>
              <a:lnTo>
                <a:pt x="1482695" y="2129351"/>
              </a:lnTo>
              <a:lnTo>
                <a:pt x="1499849" y="2077111"/>
              </a:lnTo>
              <a:lnTo>
                <a:pt x="1514571" y="2033474"/>
              </a:lnTo>
              <a:lnTo>
                <a:pt x="1530086" y="1988211"/>
              </a:lnTo>
              <a:lnTo>
                <a:pt x="1546280" y="1941704"/>
              </a:lnTo>
              <a:lnTo>
                <a:pt x="1563036" y="1894332"/>
              </a:lnTo>
              <a:lnTo>
                <a:pt x="1580240" y="1846477"/>
              </a:lnTo>
              <a:lnTo>
                <a:pt x="1598017" y="1797908"/>
              </a:lnTo>
              <a:lnTo>
                <a:pt x="1616446" y="1748374"/>
              </a:lnTo>
              <a:lnTo>
                <a:pt x="1635336" y="1698216"/>
              </a:lnTo>
              <a:lnTo>
                <a:pt x="1654499" y="1647779"/>
              </a:lnTo>
              <a:lnTo>
                <a:pt x="1673746" y="1597404"/>
              </a:lnTo>
              <a:lnTo>
                <a:pt x="1693128" y="1546839"/>
              </a:lnTo>
              <a:lnTo>
                <a:pt x="1712772" y="1495852"/>
              </a:lnTo>
              <a:lnTo>
                <a:pt x="1732600" y="1444827"/>
              </a:lnTo>
              <a:lnTo>
                <a:pt x="1752535" y="1394147"/>
              </a:lnTo>
              <a:lnTo>
                <a:pt x="1772501" y="1344195"/>
              </a:lnTo>
              <a:lnTo>
                <a:pt x="1792580" y="1294824"/>
              </a:lnTo>
              <a:lnTo>
                <a:pt x="1812824" y="1245778"/>
              </a:lnTo>
              <a:lnTo>
                <a:pt x="1833108" y="1197278"/>
              </a:lnTo>
              <a:lnTo>
                <a:pt x="1853308" y="1149545"/>
              </a:lnTo>
              <a:lnTo>
                <a:pt x="1873299" y="1102801"/>
              </a:lnTo>
              <a:lnTo>
                <a:pt x="1893192" y="1056847"/>
              </a:lnTo>
              <a:lnTo>
                <a:pt x="1913070" y="1011537"/>
              </a:lnTo>
              <a:lnTo>
                <a:pt x="1932766" y="967166"/>
              </a:lnTo>
              <a:lnTo>
                <a:pt x="1952116" y="924031"/>
              </a:lnTo>
              <a:lnTo>
                <a:pt x="1970951" y="882431"/>
              </a:lnTo>
              <a:lnTo>
                <a:pt x="1993907" y="832431"/>
              </a:lnTo>
              <a:lnTo>
                <a:pt x="2016312" y="784434"/>
              </a:lnTo>
              <a:lnTo>
                <a:pt x="2037932" y="738692"/>
              </a:lnTo>
              <a:lnTo>
                <a:pt x="2058532" y="695456"/>
              </a:lnTo>
              <a:lnTo>
                <a:pt x="2078111" y="654746"/>
              </a:lnTo>
              <a:lnTo>
                <a:pt x="2096772" y="616444"/>
              </a:lnTo>
              <a:lnTo>
                <a:pt x="2114443" y="580594"/>
              </a:lnTo>
              <a:lnTo>
                <a:pt x="2146613" y="516200"/>
              </a:lnTo>
              <a:lnTo>
                <a:pt x="2174620" y="461563"/>
              </a:lnTo>
              <a:lnTo>
                <a:pt x="2198241" y="419031"/>
              </a:lnTo>
              <a:lnTo>
                <a:pt x="2225044" y="378275"/>
              </a:lnTo>
              <a:lnTo>
                <a:pt x="2238683" y="364882"/>
              </a:lnTo>
              <a:lnTo>
                <a:pt x="2241269" y="369915"/>
              </a:lnTo>
              <a:lnTo>
                <a:pt x="2242668" y="375176"/>
              </a:lnTo>
              <a:lnTo>
                <a:pt x="2243002" y="383383"/>
              </a:lnTo>
              <a:lnTo>
                <a:pt x="2242292" y="394495"/>
              </a:lnTo>
              <a:lnTo>
                <a:pt x="2233951" y="445138"/>
              </a:lnTo>
              <a:lnTo>
                <a:pt x="2223405" y="493097"/>
              </a:lnTo>
              <a:lnTo>
                <a:pt x="2209087" y="552340"/>
              </a:lnTo>
              <a:lnTo>
                <a:pt x="2191216" y="622008"/>
              </a:lnTo>
              <a:lnTo>
                <a:pt x="2181041" y="660526"/>
              </a:lnTo>
              <a:lnTo>
                <a:pt x="2170007" y="701606"/>
              </a:lnTo>
              <a:lnTo>
                <a:pt x="2158182" y="744894"/>
              </a:lnTo>
              <a:lnTo>
                <a:pt x="2145636" y="790030"/>
              </a:lnTo>
              <a:lnTo>
                <a:pt x="2132315" y="837095"/>
              </a:lnTo>
              <a:lnTo>
                <a:pt x="2118206" y="886221"/>
              </a:lnTo>
              <a:lnTo>
                <a:pt x="2103439" y="937130"/>
              </a:lnTo>
              <a:lnTo>
                <a:pt x="2088143" y="989545"/>
              </a:lnTo>
              <a:lnTo>
                <a:pt x="2075448" y="1032763"/>
              </a:lnTo>
              <a:lnTo>
                <a:pt x="2062288" y="1077250"/>
              </a:lnTo>
              <a:lnTo>
                <a:pt x="2048811" y="1122637"/>
              </a:lnTo>
              <a:lnTo>
                <a:pt x="2035166" y="1168554"/>
              </a:lnTo>
              <a:lnTo>
                <a:pt x="2021502" y="1214631"/>
              </a:lnTo>
              <a:lnTo>
                <a:pt x="2007759" y="1261018"/>
              </a:lnTo>
              <a:lnTo>
                <a:pt x="1993841" y="1307963"/>
              </a:lnTo>
              <a:lnTo>
                <a:pt x="1979832" y="1355239"/>
              </a:lnTo>
              <a:lnTo>
                <a:pt x="1965820" y="1402619"/>
              </a:lnTo>
              <a:lnTo>
                <a:pt x="1951890" y="1449878"/>
              </a:lnTo>
              <a:lnTo>
                <a:pt x="1937937" y="1497325"/>
              </a:lnTo>
              <a:lnTo>
                <a:pt x="1923905" y="1545113"/>
              </a:lnTo>
              <a:lnTo>
                <a:pt x="1909950" y="1592775"/>
              </a:lnTo>
              <a:lnTo>
                <a:pt x="1896230" y="1639844"/>
              </a:lnTo>
              <a:lnTo>
                <a:pt x="1882902" y="1685856"/>
              </a:lnTo>
              <a:lnTo>
                <a:pt x="1866690" y="1742158"/>
              </a:lnTo>
              <a:lnTo>
                <a:pt x="1850869" y="1797446"/>
              </a:lnTo>
              <a:lnTo>
                <a:pt x="1835612" y="1851260"/>
              </a:lnTo>
              <a:lnTo>
                <a:pt x="1821091" y="1903143"/>
              </a:lnTo>
              <a:lnTo>
                <a:pt x="1807297" y="1953284"/>
              </a:lnTo>
              <a:lnTo>
                <a:pt x="1794156" y="2001824"/>
              </a:lnTo>
              <a:lnTo>
                <a:pt x="1781744" y="2048230"/>
              </a:lnTo>
              <a:lnTo>
                <a:pt x="1770136" y="2091967"/>
              </a:lnTo>
              <a:lnTo>
                <a:pt x="1759338" y="2132996"/>
              </a:lnTo>
              <a:lnTo>
                <a:pt x="1749315" y="2171569"/>
              </a:lnTo>
              <a:lnTo>
                <a:pt x="1731650" y="2240939"/>
              </a:lnTo>
              <a:lnTo>
                <a:pt x="1717324" y="2299393"/>
              </a:lnTo>
              <a:lnTo>
                <a:pt x="1705941" y="2347900"/>
              </a:lnTo>
              <a:lnTo>
                <a:pt x="1696893" y="2387464"/>
              </a:lnTo>
              <a:lnTo>
                <a:pt x="1689519" y="2428329"/>
              </a:lnTo>
              <a:lnTo>
                <a:pt x="1688956" y="2436837"/>
              </a:lnTo>
              <a:lnTo>
                <a:pt x="1689275" y="2442846"/>
              </a:lnTo>
              <a:lnTo>
                <a:pt x="1690445" y="2446384"/>
              </a:lnTo>
              <a:lnTo>
                <a:pt x="1692560" y="2449468"/>
              </a:lnTo>
              <a:lnTo>
                <a:pt x="1696603" y="2445573"/>
              </a:lnTo>
              <a:lnTo>
                <a:pt x="1724092" y="2403763"/>
              </a:lnTo>
              <a:lnTo>
                <a:pt x="1742648" y="2368617"/>
              </a:lnTo>
              <a:lnTo>
                <a:pt x="1765152" y="2322025"/>
              </a:lnTo>
              <a:lnTo>
                <a:pt x="1778105" y="2295078"/>
              </a:lnTo>
              <a:lnTo>
                <a:pt x="1807637" y="2234164"/>
              </a:lnTo>
              <a:lnTo>
                <a:pt x="1841454" y="2163478"/>
              </a:lnTo>
              <a:lnTo>
                <a:pt x="1859975" y="2124183"/>
              </a:lnTo>
              <a:lnTo>
                <a:pt x="1879613" y="2082258"/>
              </a:lnTo>
              <a:lnTo>
                <a:pt x="1900041" y="2038238"/>
              </a:lnTo>
              <a:lnTo>
                <a:pt x="1920931" y="1992657"/>
              </a:lnTo>
              <a:lnTo>
                <a:pt x="1942385" y="1945130"/>
              </a:lnTo>
              <a:lnTo>
                <a:pt x="1964515" y="1895549"/>
              </a:lnTo>
              <a:lnTo>
                <a:pt x="1987007" y="1844858"/>
              </a:lnTo>
              <a:lnTo>
                <a:pt x="2009550" y="1794002"/>
              </a:lnTo>
              <a:lnTo>
                <a:pt x="2032141" y="1743023"/>
              </a:lnTo>
              <a:lnTo>
                <a:pt x="2054919" y="1691487"/>
              </a:lnTo>
              <a:lnTo>
                <a:pt x="2077786" y="1639623"/>
              </a:lnTo>
              <a:lnTo>
                <a:pt x="2100640" y="1587662"/>
              </a:lnTo>
              <a:lnTo>
                <a:pt x="2123681" y="1535231"/>
              </a:lnTo>
              <a:lnTo>
                <a:pt x="2146888" y="1482353"/>
              </a:lnTo>
              <a:lnTo>
                <a:pt x="2169828" y="1429847"/>
              </a:lnTo>
              <a:lnTo>
                <a:pt x="2192068" y="1378536"/>
              </a:lnTo>
              <a:lnTo>
                <a:pt x="2213608" y="1328217"/>
              </a:lnTo>
              <a:lnTo>
                <a:pt x="2234641" y="1278594"/>
              </a:lnTo>
              <a:lnTo>
                <a:pt x="2255022" y="1230340"/>
              </a:lnTo>
              <a:lnTo>
                <a:pt x="2274605" y="1184126"/>
              </a:lnTo>
              <a:lnTo>
                <a:pt x="2293505" y="1139975"/>
              </a:lnTo>
              <a:lnTo>
                <a:pt x="2311750" y="1097581"/>
              </a:lnTo>
              <a:lnTo>
                <a:pt x="2329058" y="1057124"/>
              </a:lnTo>
              <a:lnTo>
                <a:pt x="2345148" y="1018785"/>
              </a:lnTo>
              <a:lnTo>
                <a:pt x="2359934" y="982527"/>
              </a:lnTo>
              <a:lnTo>
                <a:pt x="2386132" y="916186"/>
              </a:lnTo>
              <a:lnTo>
                <a:pt x="2408285" y="858763"/>
              </a:lnTo>
              <a:lnTo>
                <a:pt x="2426390" y="810258"/>
              </a:lnTo>
              <a:lnTo>
                <a:pt x="2440567" y="771513"/>
              </a:lnTo>
              <a:lnTo>
                <a:pt x="2454259" y="732153"/>
              </a:lnTo>
              <a:lnTo>
                <a:pt x="2458233" y="717161"/>
              </a:lnTo>
              <a:lnTo>
                <a:pt x="2456664" y="718570"/>
              </a:lnTo>
              <a:lnTo>
                <a:pt x="2455096" y="719979"/>
              </a:lnTo>
              <a:lnTo>
                <a:pt x="2451257" y="728217"/>
              </a:lnTo>
              <a:lnTo>
                <a:pt x="2444847" y="740607"/>
              </a:lnTo>
              <a:lnTo>
                <a:pt x="2425869" y="777432"/>
              </a:lnTo>
              <a:lnTo>
                <a:pt x="2401399" y="828430"/>
              </a:lnTo>
              <a:lnTo>
                <a:pt x="2392108" y="848317"/>
              </a:lnTo>
              <a:lnTo>
                <a:pt x="2382189" y="869271"/>
              </a:lnTo>
              <a:lnTo>
                <a:pt x="2371528" y="891352"/>
              </a:lnTo>
              <a:lnTo>
                <a:pt x="2360176" y="914655"/>
              </a:lnTo>
              <a:lnTo>
                <a:pt x="2348350" y="938980"/>
              </a:lnTo>
              <a:lnTo>
                <a:pt x="2336269" y="964124"/>
              </a:lnTo>
              <a:lnTo>
                <a:pt x="2323969" y="990122"/>
              </a:lnTo>
              <a:lnTo>
                <a:pt x="2311341" y="1017052"/>
              </a:lnTo>
              <a:lnTo>
                <a:pt x="2298384" y="1044777"/>
              </a:lnTo>
              <a:lnTo>
                <a:pt x="2285098" y="1073157"/>
              </a:lnTo>
              <a:lnTo>
                <a:pt x="2271423" y="1102212"/>
              </a:lnTo>
              <a:lnTo>
                <a:pt x="2257379" y="1131997"/>
              </a:lnTo>
              <a:lnTo>
                <a:pt x="2243084" y="1162429"/>
              </a:lnTo>
              <a:lnTo>
                <a:pt x="2228655" y="1193426"/>
              </a:lnTo>
              <a:lnTo>
                <a:pt x="2214071" y="1225184"/>
              </a:lnTo>
              <a:lnTo>
                <a:pt x="2199288" y="1257674"/>
              </a:lnTo>
              <a:lnTo>
                <a:pt x="2184386" y="1290476"/>
              </a:lnTo>
              <a:lnTo>
                <a:pt x="2169446" y="1323168"/>
              </a:lnTo>
              <a:lnTo>
                <a:pt x="2154419" y="1355789"/>
              </a:lnTo>
              <a:lnTo>
                <a:pt x="2139285" y="1388513"/>
              </a:lnTo>
              <a:lnTo>
                <a:pt x="2124169" y="1421124"/>
              </a:lnTo>
              <a:lnTo>
                <a:pt x="2109195" y="1453411"/>
              </a:lnTo>
              <a:lnTo>
                <a:pt x="2094323" y="1485525"/>
              </a:lnTo>
              <a:lnTo>
                <a:pt x="2064881" y="1548990"/>
              </a:lnTo>
              <a:lnTo>
                <a:pt x="2036484" y="1609389"/>
              </a:lnTo>
              <a:lnTo>
                <a:pt x="2009134" y="1666724"/>
              </a:lnTo>
              <a:lnTo>
                <a:pt x="1983859" y="1719273"/>
              </a:lnTo>
              <a:lnTo>
                <a:pt x="1960659" y="1767035"/>
              </a:lnTo>
              <a:lnTo>
                <a:pt x="1939949" y="1808826"/>
              </a:lnTo>
              <a:lnTo>
                <a:pt x="1921730" y="1844645"/>
              </a:lnTo>
              <a:lnTo>
                <a:pt x="1914132" y="1859689"/>
              </a:lnTo>
              <a:lnTo>
                <a:pt x="1907673" y="1872814"/>
              </a:lnTo>
              <a:lnTo>
                <a:pt x="1902219" y="1884124"/>
              </a:lnTo>
              <a:lnTo>
                <a:pt x="1897777" y="1893332"/>
              </a:lnTo>
              <a:lnTo>
                <a:pt x="1894355" y="1900146"/>
              </a:lnTo>
              <a:lnTo>
                <a:pt x="1890477" y="1907508"/>
              </a:lnTo>
              <a:lnTo>
                <a:pt x="1889489" y="1908760"/>
              </a:lnTo>
              <a:lnTo>
                <a:pt x="1890861" y="1903860"/>
              </a:lnTo>
              <a:lnTo>
                <a:pt x="1892438" y="1899004"/>
              </a:lnTo>
              <a:lnTo>
                <a:pt x="1895016" y="1891824"/>
              </a:lnTo>
              <a:lnTo>
                <a:pt x="1898447" y="1882386"/>
              </a:lnTo>
              <a:lnTo>
                <a:pt x="1902585" y="1870752"/>
              </a:lnTo>
              <a:lnTo>
                <a:pt x="1907378" y="1856890"/>
              </a:lnTo>
              <a:lnTo>
                <a:pt x="1912907" y="1840783"/>
              </a:lnTo>
              <a:lnTo>
                <a:pt x="1919231" y="1822517"/>
              </a:lnTo>
              <a:lnTo>
                <a:pt x="1934451" y="1779742"/>
              </a:lnTo>
              <a:lnTo>
                <a:pt x="1953036" y="1728565"/>
              </a:lnTo>
              <a:lnTo>
                <a:pt x="1975081" y="1669208"/>
              </a:lnTo>
              <a:lnTo>
                <a:pt x="2000584" y="1601672"/>
              </a:lnTo>
              <a:lnTo>
                <a:pt x="2014067" y="1565966"/>
              </a:lnTo>
              <a:lnTo>
                <a:pt x="2028042" y="1528978"/>
              </a:lnTo>
              <a:lnTo>
                <a:pt x="2042594" y="1490530"/>
              </a:lnTo>
              <a:lnTo>
                <a:pt x="2057455" y="1451125"/>
              </a:lnTo>
              <a:lnTo>
                <a:pt x="2072358" y="1411265"/>
              </a:lnTo>
              <a:lnTo>
                <a:pt x="2087372" y="1370831"/>
              </a:lnTo>
              <a:lnTo>
                <a:pt x="2102591" y="1329639"/>
              </a:lnTo>
              <a:lnTo>
                <a:pt x="2117791" y="1288095"/>
              </a:lnTo>
              <a:lnTo>
                <a:pt x="2132745" y="1246606"/>
              </a:lnTo>
              <a:lnTo>
                <a:pt x="2147460" y="1205019"/>
              </a:lnTo>
              <a:lnTo>
                <a:pt x="2162034" y="1163205"/>
              </a:lnTo>
              <a:lnTo>
                <a:pt x="2176377" y="1121604"/>
              </a:lnTo>
              <a:lnTo>
                <a:pt x="2190396" y="1080658"/>
              </a:lnTo>
              <a:lnTo>
                <a:pt x="2204119" y="1040324"/>
              </a:lnTo>
              <a:lnTo>
                <a:pt x="2217578" y="1000422"/>
              </a:lnTo>
              <a:lnTo>
                <a:pt x="2230687" y="961181"/>
              </a:lnTo>
              <a:lnTo>
                <a:pt x="2243363" y="922835"/>
              </a:lnTo>
              <a:lnTo>
                <a:pt x="2255625" y="885265"/>
              </a:lnTo>
              <a:lnTo>
                <a:pt x="2267503" y="848406"/>
              </a:lnTo>
              <a:lnTo>
                <a:pt x="2289845" y="778085"/>
              </a:lnTo>
              <a:lnTo>
                <a:pt x="2310286" y="712732"/>
              </a:lnTo>
              <a:lnTo>
                <a:pt x="2328425" y="653139"/>
              </a:lnTo>
              <a:lnTo>
                <a:pt x="2343744" y="600396"/>
              </a:lnTo>
              <a:lnTo>
                <a:pt x="2356495" y="554475"/>
              </a:lnTo>
              <a:lnTo>
                <a:pt x="2366648" y="515991"/>
              </a:lnTo>
              <a:lnTo>
                <a:pt x="2377769" y="470329"/>
              </a:lnTo>
              <a:lnTo>
                <a:pt x="2386595" y="427082"/>
              </a:lnTo>
              <a:lnTo>
                <a:pt x="2388006" y="419681"/>
              </a:lnTo>
              <a:lnTo>
                <a:pt x="2387108" y="417249"/>
              </a:lnTo>
              <a:lnTo>
                <a:pt x="2386210" y="414817"/>
              </a:lnTo>
              <a:lnTo>
                <a:pt x="2383785" y="416705"/>
              </a:lnTo>
              <a:lnTo>
                <a:pt x="2359069" y="458810"/>
              </a:lnTo>
              <a:lnTo>
                <a:pt x="2336827" y="501562"/>
              </a:lnTo>
              <a:lnTo>
                <a:pt x="2319267" y="537010"/>
              </a:lnTo>
              <a:lnTo>
                <a:pt x="2299644" y="577867"/>
              </a:lnTo>
              <a:lnTo>
                <a:pt x="2278632" y="623297"/>
              </a:lnTo>
              <a:lnTo>
                <a:pt x="2256231" y="673299"/>
              </a:lnTo>
              <a:lnTo>
                <a:pt x="2232976" y="726160"/>
              </a:lnTo>
              <a:lnTo>
                <a:pt x="2208866" y="781879"/>
              </a:lnTo>
              <a:lnTo>
                <a:pt x="2184795" y="839189"/>
              </a:lnTo>
              <a:lnTo>
                <a:pt x="2160764" y="898090"/>
              </a:lnTo>
              <a:lnTo>
                <a:pt x="2137022" y="957349"/>
              </a:lnTo>
              <a:lnTo>
                <a:pt x="2113570" y="1016967"/>
              </a:lnTo>
              <a:lnTo>
                <a:pt x="2092446" y="1074493"/>
              </a:lnTo>
              <a:lnTo>
                <a:pt x="2073650" y="1129927"/>
              </a:lnTo>
              <a:lnTo>
                <a:pt x="2057134" y="1181149"/>
              </a:lnTo>
              <a:lnTo>
                <a:pt x="2042899" y="1228157"/>
              </a:lnTo>
              <a:lnTo>
                <a:pt x="2030901" y="1270505"/>
              </a:lnTo>
              <a:lnTo>
                <a:pt x="2021138" y="1308194"/>
              </a:lnTo>
              <a:lnTo>
                <a:pt x="2013485" y="1351089"/>
              </a:lnTo>
              <a:lnTo>
                <a:pt x="2012776" y="1361655"/>
              </a:lnTo>
              <a:lnTo>
                <a:pt x="2012973" y="1370054"/>
              </a:lnTo>
              <a:lnTo>
                <a:pt x="2013841" y="1379708"/>
              </a:lnTo>
              <a:lnTo>
                <a:pt x="2017257" y="1383765"/>
              </a:lnTo>
              <a:lnTo>
                <a:pt x="2022817" y="1382269"/>
              </a:lnTo>
              <a:lnTo>
                <a:pt x="2054274" y="1351076"/>
              </a:lnTo>
              <a:lnTo>
                <a:pt x="2082409" y="1310587"/>
              </a:lnTo>
              <a:lnTo>
                <a:pt x="2103663" y="1275960"/>
              </a:lnTo>
              <a:lnTo>
                <a:pt x="2126738" y="1236208"/>
              </a:lnTo>
              <a:lnTo>
                <a:pt x="2151601" y="1192205"/>
              </a:lnTo>
              <a:lnTo>
                <a:pt x="2177382" y="1144708"/>
              </a:lnTo>
              <a:lnTo>
                <a:pt x="2203267" y="1094486"/>
              </a:lnTo>
              <a:lnTo>
                <a:pt x="2229058" y="1042383"/>
              </a:lnTo>
              <a:lnTo>
                <a:pt x="2254396" y="989084"/>
              </a:lnTo>
              <a:lnTo>
                <a:pt x="2278947" y="935840"/>
              </a:lnTo>
              <a:lnTo>
                <a:pt x="2302338" y="883785"/>
              </a:lnTo>
              <a:lnTo>
                <a:pt x="2324324" y="833959"/>
              </a:lnTo>
              <a:lnTo>
                <a:pt x="2344488" y="787731"/>
              </a:lnTo>
              <a:lnTo>
                <a:pt x="2353940" y="765937"/>
              </a:lnTo>
              <a:lnTo>
                <a:pt x="2362974" y="745250"/>
              </a:lnTo>
              <a:lnTo>
                <a:pt x="2371715" y="725267"/>
              </a:lnTo>
              <a:lnTo>
                <a:pt x="2380121" y="706047"/>
              </a:lnTo>
              <a:lnTo>
                <a:pt x="2387943" y="688452"/>
              </a:lnTo>
              <a:lnTo>
                <a:pt x="2406439" y="650497"/>
              </a:lnTo>
              <a:lnTo>
                <a:pt x="2422069" y="630416"/>
              </a:lnTo>
              <a:lnTo>
                <a:pt x="2422160" y="636756"/>
              </a:lnTo>
              <a:lnTo>
                <a:pt x="2415411" y="674685"/>
              </a:lnTo>
              <a:lnTo>
                <a:pt x="2402146" y="726369"/>
              </a:lnTo>
              <a:lnTo>
                <a:pt x="2389743" y="771333"/>
              </a:lnTo>
              <a:lnTo>
                <a:pt x="2374554" y="824610"/>
              </a:lnTo>
              <a:lnTo>
                <a:pt x="2357273" y="883728"/>
              </a:lnTo>
              <a:lnTo>
                <a:pt x="2337903" y="948689"/>
              </a:lnTo>
              <a:lnTo>
                <a:pt x="2327523" y="983577"/>
              </a:lnTo>
              <a:lnTo>
                <a:pt x="2316664" y="1020301"/>
              </a:lnTo>
              <a:lnTo>
                <a:pt x="2305314" y="1058764"/>
              </a:lnTo>
              <a:lnTo>
                <a:pt x="2293558" y="1098564"/>
              </a:lnTo>
              <a:lnTo>
                <a:pt x="2281479" y="1139304"/>
              </a:lnTo>
              <a:lnTo>
                <a:pt x="2269012" y="1180968"/>
              </a:lnTo>
              <a:lnTo>
                <a:pt x="2256140" y="1223741"/>
              </a:lnTo>
              <a:lnTo>
                <a:pt x="2243027" y="1267513"/>
              </a:lnTo>
              <a:lnTo>
                <a:pt x="2229836" y="1312175"/>
              </a:lnTo>
              <a:lnTo>
                <a:pt x="2216582" y="1358024"/>
              </a:lnTo>
              <a:lnTo>
                <a:pt x="2203187" y="1405009"/>
              </a:lnTo>
              <a:lnTo>
                <a:pt x="2189675" y="1452501"/>
              </a:lnTo>
              <a:lnTo>
                <a:pt x="2176068" y="1499874"/>
              </a:lnTo>
              <a:lnTo>
                <a:pt x="2162280" y="1547259"/>
              </a:lnTo>
              <a:lnTo>
                <a:pt x="2148331" y="1594893"/>
              </a:lnTo>
              <a:lnTo>
                <a:pt x="2134397" y="1642298"/>
              </a:lnTo>
              <a:lnTo>
                <a:pt x="2120653" y="1688996"/>
              </a:lnTo>
              <a:lnTo>
                <a:pt x="2107094" y="1734994"/>
              </a:lnTo>
              <a:lnTo>
                <a:pt x="2093644" y="1780499"/>
              </a:lnTo>
              <a:lnTo>
                <a:pt x="2080373" y="1825345"/>
              </a:lnTo>
              <a:lnTo>
                <a:pt x="2067353" y="1869362"/>
              </a:lnTo>
              <a:lnTo>
                <a:pt x="2054554" y="1912667"/>
              </a:lnTo>
              <a:lnTo>
                <a:pt x="2041955" y="1955296"/>
              </a:lnTo>
              <a:lnTo>
                <a:pt x="2029639" y="1996960"/>
              </a:lnTo>
              <a:lnTo>
                <a:pt x="2017687" y="2037368"/>
              </a:lnTo>
              <a:lnTo>
                <a:pt x="2006077" y="2076660"/>
              </a:lnTo>
              <a:lnTo>
                <a:pt x="1994779" y="2114920"/>
              </a:lnTo>
              <a:lnTo>
                <a:pt x="1983869" y="2151770"/>
              </a:lnTo>
              <a:lnTo>
                <a:pt x="1963415" y="2220110"/>
              </a:lnTo>
              <a:lnTo>
                <a:pt x="1944715" y="2281682"/>
              </a:lnTo>
              <a:lnTo>
                <a:pt x="1928077" y="2335850"/>
              </a:lnTo>
              <a:lnTo>
                <a:pt x="1913500" y="2382616"/>
              </a:lnTo>
              <a:lnTo>
                <a:pt x="1907060" y="2403285"/>
              </a:lnTo>
              <a:lnTo>
                <a:pt x="1901117" y="2422148"/>
              </a:lnTo>
              <a:lnTo>
                <a:pt x="1895681" y="2439198"/>
              </a:lnTo>
              <a:lnTo>
                <a:pt x="1890927" y="2454446"/>
              </a:lnTo>
              <a:lnTo>
                <a:pt x="1880312" y="2497754"/>
              </a:lnTo>
              <a:lnTo>
                <a:pt x="1879733" y="2510501"/>
              </a:lnTo>
              <a:lnTo>
                <a:pt x="1882584" y="2511773"/>
              </a:lnTo>
              <a:lnTo>
                <a:pt x="1909931" y="2470046"/>
              </a:lnTo>
              <a:lnTo>
                <a:pt x="1929148" y="2428271"/>
              </a:lnTo>
              <a:lnTo>
                <a:pt x="1949604" y="2374190"/>
              </a:lnTo>
              <a:lnTo>
                <a:pt x="1963774" y="2332780"/>
              </a:lnTo>
              <a:lnTo>
                <a:pt x="1978315" y="2287366"/>
              </a:lnTo>
              <a:lnTo>
                <a:pt x="1993095" y="2239166"/>
              </a:lnTo>
              <a:lnTo>
                <a:pt x="2008116" y="2188179"/>
              </a:lnTo>
              <a:lnTo>
                <a:pt x="2022347" y="2137855"/>
              </a:lnTo>
              <a:lnTo>
                <a:pt x="2035788" y="2088193"/>
              </a:lnTo>
              <a:lnTo>
                <a:pt x="2047617" y="2040983"/>
              </a:lnTo>
              <a:lnTo>
                <a:pt x="2057832" y="1996224"/>
              </a:lnTo>
              <a:lnTo>
                <a:pt x="2062480" y="1975414"/>
              </a:lnTo>
              <a:lnTo>
                <a:pt x="2066968" y="1955533"/>
              </a:lnTo>
              <a:lnTo>
                <a:pt x="2078116" y="1903293"/>
              </a:lnTo>
              <a:lnTo>
                <a:pt x="2083781" y="1859905"/>
              </a:lnTo>
              <a:lnTo>
                <a:pt x="2083597" y="1851226"/>
              </a:lnTo>
              <a:lnTo>
                <a:pt x="2080923" y="1848546"/>
              </a:lnTo>
              <a:lnTo>
                <a:pt x="2077013" y="1851219"/>
              </a:lnTo>
              <a:lnTo>
                <a:pt x="2054786" y="1886813"/>
              </a:lnTo>
              <a:lnTo>
                <a:pt x="2035012" y="1929365"/>
              </a:lnTo>
              <a:lnTo>
                <a:pt x="2027305" y="1946005"/>
              </a:lnTo>
              <a:lnTo>
                <a:pt x="2010371" y="1983007"/>
              </a:lnTo>
              <a:lnTo>
                <a:pt x="1992634" y="2023055"/>
              </a:lnTo>
              <a:lnTo>
                <a:pt x="1974094" y="2066146"/>
              </a:lnTo>
              <a:lnTo>
                <a:pt x="1955957" y="2109895"/>
              </a:lnTo>
              <a:lnTo>
                <a:pt x="1938222" y="2154300"/>
              </a:lnTo>
              <a:lnTo>
                <a:pt x="1921346" y="2197765"/>
              </a:lnTo>
              <a:lnTo>
                <a:pt x="1905331" y="2240290"/>
              </a:lnTo>
              <a:lnTo>
                <a:pt x="1890740" y="2279832"/>
              </a:lnTo>
              <a:lnTo>
                <a:pt x="1877574" y="2316390"/>
              </a:lnTo>
              <a:lnTo>
                <a:pt x="1860413" y="2365054"/>
              </a:lnTo>
              <a:lnTo>
                <a:pt x="1846591" y="2405691"/>
              </a:lnTo>
              <a:lnTo>
                <a:pt x="1833965" y="2446474"/>
              </a:lnTo>
              <a:lnTo>
                <a:pt x="1827689" y="2479207"/>
              </a:lnTo>
              <a:lnTo>
                <a:pt x="1828551" y="2480685"/>
              </a:lnTo>
              <a:lnTo>
                <a:pt x="1829414" y="2482163"/>
              </a:lnTo>
              <a:lnTo>
                <a:pt x="1831551" y="2480277"/>
              </a:lnTo>
              <a:lnTo>
                <a:pt x="1849338" y="2446399"/>
              </a:lnTo>
              <a:lnTo>
                <a:pt x="1865929" y="2401735"/>
              </a:lnTo>
              <a:lnTo>
                <a:pt x="1881089" y="2358302"/>
              </a:lnTo>
              <a:lnTo>
                <a:pt x="1897213" y="2308775"/>
              </a:lnTo>
              <a:lnTo>
                <a:pt x="1908680" y="2272349"/>
              </a:lnTo>
              <a:lnTo>
                <a:pt x="1920738" y="2233219"/>
              </a:lnTo>
              <a:lnTo>
                <a:pt x="1932839" y="2192786"/>
              </a:lnTo>
              <a:lnTo>
                <a:pt x="1944983" y="2151048"/>
              </a:lnTo>
              <a:lnTo>
                <a:pt x="1950985" y="2130507"/>
              </a:lnTo>
              <a:lnTo>
                <a:pt x="1962928" y="2090044"/>
              </a:lnTo>
              <a:lnTo>
                <a:pt x="1974436" y="2051310"/>
              </a:lnTo>
              <a:lnTo>
                <a:pt x="1990380" y="1998357"/>
              </a:lnTo>
              <a:lnTo>
                <a:pt x="1995150" y="1982460"/>
              </a:lnTo>
              <a:lnTo>
                <a:pt x="1999571" y="1967559"/>
              </a:lnTo>
              <a:lnTo>
                <a:pt x="2003689" y="1953564"/>
              </a:lnTo>
              <a:lnTo>
                <a:pt x="2007494" y="1940618"/>
              </a:lnTo>
              <a:lnTo>
                <a:pt x="2010974" y="1928869"/>
              </a:lnTo>
              <a:lnTo>
                <a:pt x="2014224" y="1918187"/>
              </a:lnTo>
              <a:lnTo>
                <a:pt x="2017218" y="1908550"/>
              </a:lnTo>
              <a:lnTo>
                <a:pt x="2019762" y="1900264"/>
              </a:lnTo>
              <a:lnTo>
                <a:pt x="2021663" y="1893637"/>
              </a:lnTo>
              <a:lnTo>
                <a:pt x="2023685" y="1886041"/>
              </a:lnTo>
              <a:lnTo>
                <a:pt x="2024246" y="1881944"/>
              </a:lnTo>
              <a:lnTo>
                <a:pt x="2023105" y="1883295"/>
              </a:lnTo>
              <a:lnTo>
                <a:pt x="2021964" y="1884644"/>
              </a:lnTo>
              <a:lnTo>
                <a:pt x="2007048" y="1921181"/>
              </a:lnTo>
              <a:lnTo>
                <a:pt x="2002193" y="1933504"/>
              </a:lnTo>
              <a:lnTo>
                <a:pt x="1996587" y="1947634"/>
              </a:lnTo>
              <a:lnTo>
                <a:pt x="1990268" y="1963527"/>
              </a:lnTo>
              <a:lnTo>
                <a:pt x="1983256" y="1981174"/>
              </a:lnTo>
              <a:lnTo>
                <a:pt x="1975454" y="2000677"/>
              </a:lnTo>
              <a:lnTo>
                <a:pt x="1957099" y="2045713"/>
              </a:lnTo>
              <a:lnTo>
                <a:pt x="1935204" y="2098635"/>
              </a:lnTo>
              <a:lnTo>
                <a:pt x="1923244" y="2127443"/>
              </a:lnTo>
              <a:lnTo>
                <a:pt x="1910715" y="2157734"/>
              </a:lnTo>
              <a:lnTo>
                <a:pt x="1883632" y="2223012"/>
              </a:lnTo>
              <a:lnTo>
                <a:pt x="1853389" y="2294083"/>
              </a:lnTo>
              <a:lnTo>
                <a:pt x="1837053" y="2331907"/>
              </a:lnTo>
              <a:lnTo>
                <a:pt x="1819985" y="2370946"/>
              </a:lnTo>
              <a:lnTo>
                <a:pt x="1802246" y="2410890"/>
              </a:lnTo>
              <a:lnTo>
                <a:pt x="1783826" y="2452019"/>
              </a:lnTo>
              <a:lnTo>
                <a:pt x="1764700" y="2494378"/>
              </a:lnTo>
              <a:lnTo>
                <a:pt x="1744911" y="2537302"/>
              </a:lnTo>
              <a:lnTo>
                <a:pt x="1724503" y="2580129"/>
              </a:lnTo>
              <a:lnTo>
                <a:pt x="1703242" y="2623035"/>
              </a:lnTo>
              <a:lnTo>
                <a:pt x="1681186" y="2666257"/>
              </a:lnTo>
              <a:lnTo>
                <a:pt x="1658818" y="2709219"/>
              </a:lnTo>
              <a:lnTo>
                <a:pt x="1636619" y="2751346"/>
              </a:lnTo>
              <a:lnTo>
                <a:pt x="1614513" y="2792871"/>
              </a:lnTo>
              <a:lnTo>
                <a:pt x="1592310" y="2833974"/>
              </a:lnTo>
              <a:lnTo>
                <a:pt x="1570327" y="2873992"/>
              </a:lnTo>
              <a:lnTo>
                <a:pt x="1548880" y="2912264"/>
              </a:lnTo>
              <a:lnTo>
                <a:pt x="1527855" y="2948863"/>
              </a:lnTo>
              <a:lnTo>
                <a:pt x="1507151" y="2984058"/>
              </a:lnTo>
              <a:lnTo>
                <a:pt x="1487097" y="3017484"/>
              </a:lnTo>
              <a:lnTo>
                <a:pt x="1449811" y="3077996"/>
              </a:lnTo>
              <a:lnTo>
                <a:pt x="1415998" y="3130398"/>
              </a:lnTo>
              <a:lnTo>
                <a:pt x="1387758" y="3173480"/>
              </a:lnTo>
              <a:lnTo>
                <a:pt x="1365091" y="3207244"/>
              </a:lnTo>
              <a:lnTo>
                <a:pt x="1341311" y="3239126"/>
              </a:lnTo>
              <a:lnTo>
                <a:pt x="1327916" y="3250674"/>
              </a:lnTo>
              <a:lnTo>
                <a:pt x="1327543" y="3245676"/>
              </a:lnTo>
              <a:lnTo>
                <a:pt x="1341216" y="3206423"/>
              </a:lnTo>
              <a:lnTo>
                <a:pt x="1361057" y="3159951"/>
              </a:lnTo>
              <a:lnTo>
                <a:pt x="1378691" y="3120962"/>
              </a:lnTo>
              <a:lnTo>
                <a:pt x="1399759" y="3076741"/>
              </a:lnTo>
              <a:lnTo>
                <a:pt x="1423791" y="3027873"/>
              </a:lnTo>
              <a:lnTo>
                <a:pt x="1450325" y="2975341"/>
              </a:lnTo>
              <a:lnTo>
                <a:pt x="1479244" y="2918907"/>
              </a:lnTo>
              <a:lnTo>
                <a:pt x="1494523" y="2889088"/>
              </a:lnTo>
              <a:lnTo>
                <a:pt x="1526716" y="2826574"/>
              </a:lnTo>
              <a:lnTo>
                <a:pt x="1560549" y="2762107"/>
              </a:lnTo>
              <a:lnTo>
                <a:pt x="1596023" y="2695688"/>
              </a:lnTo>
              <a:lnTo>
                <a:pt x="1632100" y="2630002"/>
              </a:lnTo>
              <a:lnTo>
                <a:pt x="1668781" y="2565048"/>
              </a:lnTo>
              <a:lnTo>
                <a:pt x="1705558" y="2501818"/>
              </a:lnTo>
              <a:lnTo>
                <a:pt x="1742431" y="2440312"/>
              </a:lnTo>
              <a:lnTo>
                <a:pt x="1778167" y="2382098"/>
              </a:lnTo>
              <a:lnTo>
                <a:pt x="1812768" y="2327178"/>
              </a:lnTo>
              <a:lnTo>
                <a:pt x="1846038" y="2276508"/>
              </a:lnTo>
              <a:lnTo>
                <a:pt x="1877977" y="2230090"/>
              </a:lnTo>
              <a:lnTo>
                <a:pt x="1906750" y="2189047"/>
              </a:lnTo>
              <a:lnTo>
                <a:pt x="1932359" y="2153380"/>
              </a:lnTo>
              <a:lnTo>
                <a:pt x="1955170" y="2122469"/>
              </a:lnTo>
              <a:lnTo>
                <a:pt x="1983868" y="2085284"/>
              </a:lnTo>
              <a:lnTo>
                <a:pt x="2009523" y="2054998"/>
              </a:lnTo>
              <a:lnTo>
                <a:pt x="2019914" y="2046828"/>
              </a:lnTo>
              <a:lnTo>
                <a:pt x="2022132" y="2048858"/>
              </a:lnTo>
              <a:lnTo>
                <a:pt x="2024351" y="2050887"/>
              </a:lnTo>
              <a:lnTo>
                <a:pt x="2023883" y="2057120"/>
              </a:lnTo>
              <a:lnTo>
                <a:pt x="2022834" y="2067176"/>
              </a:lnTo>
              <a:lnTo>
                <a:pt x="2021727" y="2075523"/>
              </a:lnTo>
              <a:lnTo>
                <a:pt x="2020086" y="2085394"/>
              </a:lnTo>
              <a:lnTo>
                <a:pt x="2018071" y="2096660"/>
              </a:lnTo>
              <a:lnTo>
                <a:pt x="2015842" y="2109188"/>
              </a:lnTo>
              <a:lnTo>
                <a:pt x="2013330" y="2122998"/>
              </a:lnTo>
              <a:lnTo>
                <a:pt x="2010487" y="2138141"/>
              </a:lnTo>
              <a:lnTo>
                <a:pt x="2007504" y="2154538"/>
              </a:lnTo>
              <a:lnTo>
                <a:pt x="1998823" y="2211023"/>
              </a:lnTo>
              <a:lnTo>
                <a:pt x="1993076" y="2254224"/>
              </a:lnTo>
              <a:lnTo>
                <a:pt x="1987399" y="2301428"/>
              </a:lnTo>
              <a:lnTo>
                <a:pt x="1981802" y="2351420"/>
              </a:lnTo>
              <a:lnTo>
                <a:pt x="1976316" y="2402945"/>
              </a:lnTo>
              <a:lnTo>
                <a:pt x="1970935" y="2455833"/>
              </a:lnTo>
              <a:lnTo>
                <a:pt x="1965566" y="2509771"/>
              </a:lnTo>
              <a:lnTo>
                <a:pt x="1960498" y="2563925"/>
              </a:lnTo>
              <a:lnTo>
                <a:pt x="1955998" y="2618000"/>
              </a:lnTo>
              <a:lnTo>
                <a:pt x="1952050" y="2670061"/>
              </a:lnTo>
              <a:lnTo>
                <a:pt x="1948750" y="2718050"/>
              </a:lnTo>
              <a:lnTo>
                <a:pt x="1946033" y="2762037"/>
              </a:lnTo>
              <a:lnTo>
                <a:pt x="1943894" y="2801457"/>
              </a:lnTo>
              <a:lnTo>
                <a:pt x="1941560" y="2851558"/>
              </a:lnTo>
              <a:lnTo>
                <a:pt x="1940237" y="2890367"/>
              </a:lnTo>
              <a:lnTo>
                <a:pt x="1939988" y="2910462"/>
              </a:lnTo>
              <a:lnTo>
                <a:pt x="1940245" y="2918646"/>
              </a:lnTo>
              <a:lnTo>
                <a:pt x="1941064" y="2925409"/>
              </a:lnTo>
              <a:lnTo>
                <a:pt x="1942634" y="2933419"/>
              </a:lnTo>
              <a:lnTo>
                <a:pt x="1944498" y="2938452"/>
              </a:lnTo>
              <a:lnTo>
                <a:pt x="1949656" y="2938427"/>
              </a:lnTo>
              <a:lnTo>
                <a:pt x="1989584" y="2908475"/>
              </a:lnTo>
              <a:lnTo>
                <a:pt x="2025184" y="2871129"/>
              </a:lnTo>
              <a:lnTo>
                <a:pt x="2055488" y="2838407"/>
              </a:lnTo>
              <a:lnTo>
                <a:pt x="2093798" y="2796439"/>
              </a:lnTo>
              <a:lnTo>
                <a:pt x="2140115" y="2745226"/>
              </a:lnTo>
              <a:lnTo>
                <a:pt x="2166141" y="2716531"/>
              </a:lnTo>
              <a:lnTo>
                <a:pt x="2194044" y="2685832"/>
              </a:lnTo>
              <a:lnTo>
                <a:pt x="2223843" y="2653066"/>
              </a:lnTo>
              <a:lnTo>
                <a:pt x="2255586" y="2618258"/>
              </a:lnTo>
              <a:lnTo>
                <a:pt x="2289323" y="2581435"/>
              </a:lnTo>
              <a:lnTo>
                <a:pt x="2325213" y="2542428"/>
              </a:lnTo>
              <a:lnTo>
                <a:pt x="2363182" y="2501281"/>
              </a:lnTo>
              <a:lnTo>
                <a:pt x="2402926" y="2458341"/>
              </a:lnTo>
              <a:lnTo>
                <a:pt x="2444140" y="2413956"/>
              </a:lnTo>
              <a:lnTo>
                <a:pt x="2478320" y="2377335"/>
              </a:lnTo>
              <a:lnTo>
                <a:pt x="2513705" y="2339587"/>
              </a:lnTo>
              <a:lnTo>
                <a:pt x="2549996" y="2300904"/>
              </a:lnTo>
              <a:lnTo>
                <a:pt x="2586898" y="2261476"/>
              </a:lnTo>
              <a:lnTo>
                <a:pt x="2624113" y="2221494"/>
              </a:lnTo>
              <a:lnTo>
                <a:pt x="2655485" y="2187588"/>
              </a:lnTo>
              <a:lnTo>
                <a:pt x="2687373" y="2153001"/>
              </a:lnTo>
              <a:lnTo>
                <a:pt x="2719616" y="2117940"/>
              </a:lnTo>
              <a:lnTo>
                <a:pt x="2752053" y="2082615"/>
              </a:lnTo>
              <a:lnTo>
                <a:pt x="2784523" y="2047232"/>
              </a:lnTo>
              <a:lnTo>
                <a:pt x="2816864" y="2011999"/>
              </a:lnTo>
              <a:lnTo>
                <a:pt x="2849342" y="1976698"/>
              </a:lnTo>
              <a:lnTo>
                <a:pt x="2882138" y="1941118"/>
              </a:lnTo>
              <a:lnTo>
                <a:pt x="2914967" y="1905482"/>
              </a:lnTo>
              <a:lnTo>
                <a:pt x="2947542" y="1870009"/>
              </a:lnTo>
              <a:lnTo>
                <a:pt x="2979579" y="1834921"/>
              </a:lnTo>
              <a:lnTo>
                <a:pt x="3010790" y="1800440"/>
              </a:lnTo>
              <a:lnTo>
                <a:pt x="3047461" y="1759522"/>
              </a:lnTo>
              <a:lnTo>
                <a:pt x="3083571" y="1718887"/>
              </a:lnTo>
              <a:lnTo>
                <a:pt x="3118797" y="1678943"/>
              </a:lnTo>
              <a:lnTo>
                <a:pt x="3152815" y="1640096"/>
              </a:lnTo>
              <a:lnTo>
                <a:pt x="3185302" y="1602754"/>
              </a:lnTo>
              <a:lnTo>
                <a:pt x="3223894" y="1558034"/>
              </a:lnTo>
              <a:lnTo>
                <a:pt x="3260499" y="1515165"/>
              </a:lnTo>
              <a:lnTo>
                <a:pt x="3294911" y="1474374"/>
              </a:lnTo>
              <a:lnTo>
                <a:pt x="3326924" y="1435889"/>
              </a:lnTo>
              <a:lnTo>
                <a:pt x="3356445" y="1399643"/>
              </a:lnTo>
              <a:lnTo>
                <a:pt x="3383597" y="1365558"/>
              </a:lnTo>
              <a:lnTo>
                <a:pt x="3408498" y="1333841"/>
              </a:lnTo>
              <a:lnTo>
                <a:pt x="3451943" y="1278058"/>
              </a:lnTo>
              <a:lnTo>
                <a:pt x="3486779" y="1232295"/>
              </a:lnTo>
              <a:lnTo>
                <a:pt x="3512540" y="1197938"/>
              </a:lnTo>
              <a:lnTo>
                <a:pt x="3521910" y="1185026"/>
              </a:lnTo>
              <a:lnTo>
                <a:pt x="3529224" y="1174986"/>
              </a:lnTo>
              <a:lnTo>
                <a:pt x="3534746" y="1167880"/>
              </a:lnTo>
              <a:lnTo>
                <a:pt x="3541028" y="1160391"/>
              </a:lnTo>
              <a:lnTo>
                <a:pt x="3542327" y="1160529"/>
              </a:lnTo>
              <a:lnTo>
                <a:pt x="3521175" y="1200923"/>
              </a:lnTo>
              <a:lnTo>
                <a:pt x="3512073" y="1217026"/>
              </a:lnTo>
              <a:lnTo>
                <a:pt x="3501618" y="1235586"/>
              </a:lnTo>
              <a:lnTo>
                <a:pt x="3475980" y="1280477"/>
              </a:lnTo>
              <a:lnTo>
                <a:pt x="3442730" y="1335727"/>
              </a:lnTo>
              <a:lnTo>
                <a:pt x="3401870" y="1401337"/>
              </a:lnTo>
              <a:lnTo>
                <a:pt x="3378912" y="1437629"/>
              </a:lnTo>
              <a:lnTo>
                <a:pt x="3354347" y="1476309"/>
              </a:lnTo>
              <a:lnTo>
                <a:pt x="3328103" y="1517418"/>
              </a:lnTo>
              <a:lnTo>
                <a:pt x="3300159" y="1560642"/>
              </a:lnTo>
              <a:lnTo>
                <a:pt x="3270491" y="1605671"/>
              </a:lnTo>
              <a:lnTo>
                <a:pt x="3245414" y="1643183"/>
              </a:lnTo>
              <a:lnTo>
                <a:pt x="3219142" y="1682156"/>
              </a:lnTo>
              <a:lnTo>
                <a:pt x="3191820" y="1722230"/>
              </a:lnTo>
              <a:lnTo>
                <a:pt x="3163592" y="1763046"/>
              </a:lnTo>
              <a:lnTo>
                <a:pt x="3134604" y="1804242"/>
              </a:lnTo>
              <a:lnTo>
                <a:pt x="3104748" y="1846008"/>
              </a:lnTo>
              <a:lnTo>
                <a:pt x="3073929" y="1888583"/>
              </a:lnTo>
              <a:lnTo>
                <a:pt x="3042306" y="1931685"/>
              </a:lnTo>
              <a:lnTo>
                <a:pt x="3010039" y="1975032"/>
              </a:lnTo>
              <a:lnTo>
                <a:pt x="2977289" y="2018342"/>
              </a:lnTo>
              <a:lnTo>
                <a:pt x="2943831" y="2061770"/>
              </a:lnTo>
              <a:lnTo>
                <a:pt x="2909559" y="2105505"/>
              </a:lnTo>
              <a:lnTo>
                <a:pt x="2874808" y="2149313"/>
              </a:lnTo>
              <a:lnTo>
                <a:pt x="2839913" y="2192959"/>
              </a:lnTo>
              <a:lnTo>
                <a:pt x="2805209" y="2236210"/>
              </a:lnTo>
              <a:lnTo>
                <a:pt x="2770502" y="2279333"/>
              </a:lnTo>
              <a:lnTo>
                <a:pt x="2735572" y="2322487"/>
              </a:lnTo>
              <a:lnTo>
                <a:pt x="2700704" y="2365265"/>
              </a:lnTo>
              <a:lnTo>
                <a:pt x="2666187" y="2407266"/>
              </a:lnTo>
              <a:lnTo>
                <a:pt x="2632308" y="2448086"/>
              </a:lnTo>
              <a:lnTo>
                <a:pt x="2598871" y="2487899"/>
              </a:lnTo>
              <a:lnTo>
                <a:pt x="2565686" y="2526976"/>
              </a:lnTo>
              <a:lnTo>
                <a:pt x="2533044" y="2565053"/>
              </a:lnTo>
              <a:lnTo>
                <a:pt x="2501238" y="2601865"/>
              </a:lnTo>
              <a:lnTo>
                <a:pt x="2470562" y="2637147"/>
              </a:lnTo>
              <a:lnTo>
                <a:pt x="2433610" y="2679235"/>
              </a:lnTo>
              <a:lnTo>
                <a:pt x="2398007" y="2719281"/>
              </a:lnTo>
              <a:lnTo>
                <a:pt x="2364083" y="2757068"/>
              </a:lnTo>
              <a:lnTo>
                <a:pt x="2332164" y="2792381"/>
              </a:lnTo>
              <a:lnTo>
                <a:pt x="2302269" y="2825197"/>
              </a:lnTo>
              <a:lnTo>
                <a:pt x="2274244" y="2855621"/>
              </a:lnTo>
              <a:lnTo>
                <a:pt x="2248166" y="2883622"/>
              </a:lnTo>
              <a:lnTo>
                <a:pt x="2202036" y="2932229"/>
              </a:lnTo>
              <a:lnTo>
                <a:pt x="2163881" y="2971018"/>
              </a:lnTo>
              <a:lnTo>
                <a:pt x="2134246" y="3000423"/>
              </a:lnTo>
              <a:lnTo>
                <a:pt x="2105595" y="3026991"/>
              </a:lnTo>
              <a:lnTo>
                <a:pt x="2093134" y="3034685"/>
              </a:lnTo>
              <a:lnTo>
                <a:pt x="2095412" y="3030133"/>
              </a:lnTo>
              <a:lnTo>
                <a:pt x="2119263" y="2999679"/>
              </a:lnTo>
              <a:lnTo>
                <a:pt x="2161944" y="2955310"/>
              </a:lnTo>
              <a:lnTo>
                <a:pt x="2205435" y="2915732"/>
              </a:lnTo>
              <a:lnTo>
                <a:pt x="2261532" y="2868197"/>
              </a:lnTo>
              <a:lnTo>
                <a:pt x="2294056" y="2841878"/>
              </a:lnTo>
              <a:lnTo>
                <a:pt x="2329470" y="2813991"/>
              </a:lnTo>
              <a:lnTo>
                <a:pt x="2367830" y="2784424"/>
              </a:lnTo>
              <a:lnTo>
                <a:pt x="2409251" y="2753114"/>
              </a:lnTo>
              <a:lnTo>
                <a:pt x="2453847" y="2720001"/>
              </a:lnTo>
              <a:lnTo>
                <a:pt x="2492049" y="2692006"/>
              </a:lnTo>
              <a:lnTo>
                <a:pt x="2532479" y="2662673"/>
              </a:lnTo>
              <a:lnTo>
                <a:pt x="2574807" y="2632297"/>
              </a:lnTo>
              <a:lnTo>
                <a:pt x="2618701" y="2601173"/>
              </a:lnTo>
              <a:lnTo>
                <a:pt x="2663831" y="2569597"/>
              </a:lnTo>
              <a:lnTo>
                <a:pt x="2702500" y="2542922"/>
              </a:lnTo>
              <a:lnTo>
                <a:pt x="2742340" y="2515763"/>
              </a:lnTo>
              <a:lnTo>
                <a:pt x="2783190" y="2488153"/>
              </a:lnTo>
              <a:lnTo>
                <a:pt x="2824893" y="2460126"/>
              </a:lnTo>
              <a:lnTo>
                <a:pt x="2867289" y="2431715"/>
              </a:lnTo>
              <a:lnTo>
                <a:pt x="2910218" y="2402955"/>
              </a:lnTo>
              <a:lnTo>
                <a:pt x="2953916" y="2373760"/>
              </a:lnTo>
              <a:lnTo>
                <a:pt x="2998558" y="2344087"/>
              </a:lnTo>
              <a:lnTo>
                <a:pt x="3043893" y="2314030"/>
              </a:lnTo>
              <a:lnTo>
                <a:pt x="3089670" y="2283684"/>
              </a:lnTo>
              <a:lnTo>
                <a:pt x="3135637" y="2253144"/>
              </a:lnTo>
              <a:lnTo>
                <a:pt x="3181544" y="2222503"/>
              </a:lnTo>
              <a:lnTo>
                <a:pt x="3221082" y="2196055"/>
              </a:lnTo>
              <a:lnTo>
                <a:pt x="3261050" y="2169335"/>
              </a:lnTo>
              <a:lnTo>
                <a:pt x="3301229" y="2142439"/>
              </a:lnTo>
              <a:lnTo>
                <a:pt x="3341405" y="2115466"/>
              </a:lnTo>
              <a:lnTo>
                <a:pt x="3381359" y="2088510"/>
              </a:lnTo>
              <a:lnTo>
                <a:pt x="3420874" y="2061670"/>
              </a:lnTo>
              <a:lnTo>
                <a:pt x="3459735" y="2035042"/>
              </a:lnTo>
              <a:lnTo>
                <a:pt x="3504597" y="2004024"/>
              </a:lnTo>
              <a:lnTo>
                <a:pt x="3549248" y="1972918"/>
              </a:lnTo>
              <a:lnTo>
                <a:pt x="3593401" y="1941924"/>
              </a:lnTo>
              <a:lnTo>
                <a:pt x="3636769" y="1911246"/>
              </a:lnTo>
              <a:lnTo>
                <a:pt x="3679064" y="1881084"/>
              </a:lnTo>
              <a:lnTo>
                <a:pt x="3719999" y="1851643"/>
              </a:lnTo>
              <a:lnTo>
                <a:pt x="3767581" y="1817107"/>
              </a:lnTo>
              <a:lnTo>
                <a:pt x="3813783" y="1783224"/>
              </a:lnTo>
              <a:lnTo>
                <a:pt x="3858358" y="1750133"/>
              </a:lnTo>
              <a:lnTo>
                <a:pt x="3901059" y="1717970"/>
              </a:lnTo>
              <a:lnTo>
                <a:pt x="3941641" y="1686873"/>
              </a:lnTo>
              <a:lnTo>
                <a:pt x="3989453" y="1649404"/>
              </a:lnTo>
              <a:lnTo>
                <a:pt x="4034235" y="1613401"/>
              </a:lnTo>
              <a:lnTo>
                <a:pt x="4075910" y="1579033"/>
              </a:lnTo>
              <a:lnTo>
                <a:pt x="4114397" y="1546468"/>
              </a:lnTo>
              <a:lnTo>
                <a:pt x="4149579" y="1515728"/>
              </a:lnTo>
              <a:lnTo>
                <a:pt x="4181530" y="1486730"/>
              </a:lnTo>
              <a:lnTo>
                <a:pt x="4210461" y="1459488"/>
              </a:lnTo>
              <a:lnTo>
                <a:pt x="4259698" y="1410345"/>
              </a:lnTo>
              <a:lnTo>
                <a:pt x="4297290" y="1368301"/>
              </a:lnTo>
              <a:lnTo>
                <a:pt x="4325978" y="1332822"/>
              </a:lnTo>
              <a:lnTo>
                <a:pt x="4352873" y="1292384"/>
              </a:lnTo>
              <a:lnTo>
                <a:pt x="4363740" y="1269723"/>
              </a:lnTo>
              <a:lnTo>
                <a:pt x="4363358" y="1266243"/>
              </a:lnTo>
              <a:lnTo>
                <a:pt x="4360832" y="1264867"/>
              </a:lnTo>
              <a:lnTo>
                <a:pt x="4356242" y="1265554"/>
              </a:lnTo>
              <a:lnTo>
                <a:pt x="4318062" y="1289070"/>
              </a:lnTo>
              <a:lnTo>
                <a:pt x="4286607" y="1313203"/>
              </a:lnTo>
              <a:lnTo>
                <a:pt x="4246063" y="1345165"/>
              </a:lnTo>
              <a:lnTo>
                <a:pt x="4196241" y="1385720"/>
              </a:lnTo>
              <a:lnTo>
                <a:pt x="4136979" y="1435857"/>
              </a:lnTo>
              <a:lnTo>
                <a:pt x="4103657" y="1464229"/>
              </a:lnTo>
              <a:lnTo>
                <a:pt x="4067601" y="1494538"/>
              </a:lnTo>
              <a:lnTo>
                <a:pt x="4028658" y="1526890"/>
              </a:lnTo>
              <a:lnTo>
                <a:pt x="3986970" y="1561338"/>
              </a:lnTo>
              <a:lnTo>
                <a:pt x="3942775" y="1597603"/>
              </a:lnTo>
              <a:lnTo>
                <a:pt x="3896310" y="1635407"/>
              </a:lnTo>
              <a:lnTo>
                <a:pt x="3857372" y="1666832"/>
              </a:lnTo>
              <a:lnTo>
                <a:pt x="3816763" y="1699419"/>
              </a:lnTo>
              <a:lnTo>
                <a:pt x="3774734" y="1732990"/>
              </a:lnTo>
              <a:lnTo>
                <a:pt x="3731539" y="1767369"/>
              </a:lnTo>
              <a:lnTo>
                <a:pt x="3687430" y="1802376"/>
              </a:lnTo>
              <a:lnTo>
                <a:pt x="3649836" y="1832157"/>
              </a:lnTo>
              <a:lnTo>
                <a:pt x="3611308" y="1862620"/>
              </a:lnTo>
              <a:lnTo>
                <a:pt x="3572029" y="1893602"/>
              </a:lnTo>
              <a:lnTo>
                <a:pt x="3532181" y="1924940"/>
              </a:lnTo>
              <a:lnTo>
                <a:pt x="3491945" y="1956471"/>
              </a:lnTo>
              <a:lnTo>
                <a:pt x="3451505" y="1988031"/>
              </a:lnTo>
              <a:lnTo>
                <a:pt x="3410726" y="2019768"/>
              </a:lnTo>
              <a:lnTo>
                <a:pt x="3369436" y="2051841"/>
              </a:lnTo>
              <a:lnTo>
                <a:pt x="3327758" y="2084106"/>
              </a:lnTo>
              <a:lnTo>
                <a:pt x="3285818" y="2116421"/>
              </a:lnTo>
              <a:lnTo>
                <a:pt x="3243738" y="2148643"/>
              </a:lnTo>
              <a:lnTo>
                <a:pt x="3201643" y="2180629"/>
              </a:lnTo>
              <a:lnTo>
                <a:pt x="3159188" y="2212569"/>
              </a:lnTo>
              <a:lnTo>
                <a:pt x="3116205" y="2244614"/>
              </a:lnTo>
              <a:lnTo>
                <a:pt x="3073083" y="2276566"/>
              </a:lnTo>
              <a:lnTo>
                <a:pt x="3030210" y="2308226"/>
              </a:lnTo>
              <a:lnTo>
                <a:pt x="2987976" y="2339397"/>
              </a:lnTo>
              <a:lnTo>
                <a:pt x="2946770" y="2369878"/>
              </a:lnTo>
              <a:lnTo>
                <a:pt x="2906373" y="2399846"/>
              </a:lnTo>
              <a:lnTo>
                <a:pt x="2866428" y="2429493"/>
              </a:lnTo>
              <a:lnTo>
                <a:pt x="2827123" y="2458651"/>
              </a:lnTo>
              <a:lnTo>
                <a:pt x="2788641" y="2487148"/>
              </a:lnTo>
              <a:lnTo>
                <a:pt x="2751169" y="2514815"/>
              </a:lnTo>
              <a:lnTo>
                <a:pt x="2714891" y="2541481"/>
              </a:lnTo>
              <a:lnTo>
                <a:pt x="2672685" y="2572308"/>
              </a:lnTo>
              <a:lnTo>
                <a:pt x="2631743" y="2602034"/>
              </a:lnTo>
              <a:lnTo>
                <a:pt x="2592349" y="2630517"/>
              </a:lnTo>
              <a:lnTo>
                <a:pt x="2554787" y="2657616"/>
              </a:lnTo>
              <a:lnTo>
                <a:pt x="2519341" y="2683188"/>
              </a:lnTo>
              <a:lnTo>
                <a:pt x="2477881" y="2713061"/>
              </a:lnTo>
              <a:lnTo>
                <a:pt x="2439365" y="2740725"/>
              </a:lnTo>
              <a:lnTo>
                <a:pt x="2403991" y="2766097"/>
              </a:lnTo>
              <a:lnTo>
                <a:pt x="2371957" y="2789097"/>
              </a:lnTo>
              <a:lnTo>
                <a:pt x="2343265" y="2809848"/>
              </a:lnTo>
              <a:lnTo>
                <a:pt x="2317827" y="2828344"/>
              </a:lnTo>
              <a:lnTo>
                <a:pt x="2295702" y="2844313"/>
              </a:lnTo>
              <a:lnTo>
                <a:pt x="2261600" y="2867739"/>
              </a:lnTo>
              <a:lnTo>
                <a:pt x="2235636" y="2882521"/>
              </a:lnTo>
              <a:lnTo>
                <a:pt x="2233589" y="2882408"/>
              </a:lnTo>
              <a:lnTo>
                <a:pt x="2274838" y="2844741"/>
              </a:lnTo>
              <a:lnTo>
                <a:pt x="2293475" y="2829985"/>
              </a:lnTo>
              <a:lnTo>
                <a:pt x="2315049" y="2812889"/>
              </a:lnTo>
              <a:lnTo>
                <a:pt x="2366922" y="2771654"/>
              </a:lnTo>
              <a:lnTo>
                <a:pt x="2397451" y="2747514"/>
              </a:lnTo>
              <a:lnTo>
                <a:pt x="2431125" y="2721054"/>
              </a:lnTo>
              <a:lnTo>
                <a:pt x="2468175" y="2692121"/>
              </a:lnTo>
              <a:lnTo>
                <a:pt x="2508497" y="2660759"/>
              </a:lnTo>
              <a:lnTo>
                <a:pt x="2551647" y="2627273"/>
              </a:lnTo>
              <a:lnTo>
                <a:pt x="2597182" y="2591970"/>
              </a:lnTo>
              <a:lnTo>
                <a:pt x="2635493" y="2562256"/>
              </a:lnTo>
              <a:lnTo>
                <a:pt x="2675664" y="2531100"/>
              </a:lnTo>
              <a:lnTo>
                <a:pt x="2717336" y="2498823"/>
              </a:lnTo>
              <a:lnTo>
                <a:pt x="2760154" y="2465745"/>
              </a:lnTo>
              <a:lnTo>
                <a:pt x="2803761" y="2432186"/>
              </a:lnTo>
              <a:lnTo>
                <a:pt x="2840860" y="2403776"/>
              </a:lnTo>
              <a:lnTo>
                <a:pt x="2878880" y="2374773"/>
              </a:lnTo>
              <a:lnTo>
                <a:pt x="2917613" y="2345288"/>
              </a:lnTo>
              <a:lnTo>
                <a:pt x="2956851" y="2315433"/>
              </a:lnTo>
              <a:lnTo>
                <a:pt x="2996384" y="2285317"/>
              </a:lnTo>
              <a:lnTo>
                <a:pt x="3036003" y="2255054"/>
              </a:lnTo>
              <a:lnTo>
                <a:pt x="3076001" y="2224428"/>
              </a:lnTo>
              <a:lnTo>
                <a:pt x="3116604" y="2193306"/>
              </a:lnTo>
              <a:lnTo>
                <a:pt x="3157503" y="2161926"/>
              </a:lnTo>
              <a:lnTo>
                <a:pt x="3198387" y="2130521"/>
              </a:lnTo>
              <a:lnTo>
                <a:pt x="3238947" y="2099327"/>
              </a:lnTo>
              <a:lnTo>
                <a:pt x="3278873" y="2068579"/>
              </a:lnTo>
              <a:lnTo>
                <a:pt x="3318380" y="2038135"/>
              </a:lnTo>
              <a:lnTo>
                <a:pt x="3357758" y="2007781"/>
              </a:lnTo>
              <a:lnTo>
                <a:pt x="3396812" y="1977637"/>
              </a:lnTo>
              <a:lnTo>
                <a:pt x="3435347" y="1947826"/>
              </a:lnTo>
              <a:lnTo>
                <a:pt x="3473169" y="1918471"/>
              </a:lnTo>
              <a:lnTo>
                <a:pt x="3510082" y="1889692"/>
              </a:lnTo>
              <a:lnTo>
                <a:pt x="3553440" y="1855752"/>
              </a:lnTo>
              <a:lnTo>
                <a:pt x="3595968" y="1822337"/>
              </a:lnTo>
              <a:lnTo>
                <a:pt x="3637369" y="1789643"/>
              </a:lnTo>
              <a:lnTo>
                <a:pt x="3677347" y="1757862"/>
              </a:lnTo>
              <a:lnTo>
                <a:pt x="3715605" y="1727191"/>
              </a:lnTo>
              <a:lnTo>
                <a:pt x="3761146" y="1690278"/>
              </a:lnTo>
              <a:lnTo>
                <a:pt x="3804380" y="1654822"/>
              </a:lnTo>
              <a:lnTo>
                <a:pt x="3845093" y="1621043"/>
              </a:lnTo>
              <a:lnTo>
                <a:pt x="3883070" y="1589166"/>
              </a:lnTo>
              <a:lnTo>
                <a:pt x="3918234" y="1559210"/>
              </a:lnTo>
              <a:lnTo>
                <a:pt x="3950707" y="1531071"/>
              </a:lnTo>
              <a:lnTo>
                <a:pt x="3980568" y="1504779"/>
              </a:lnTo>
              <a:lnTo>
                <a:pt x="4032872" y="1457675"/>
              </a:lnTo>
              <a:lnTo>
                <a:pt x="4075145" y="1417899"/>
              </a:lnTo>
              <a:lnTo>
                <a:pt x="4105341" y="1387383"/>
              </a:lnTo>
              <a:lnTo>
                <a:pt x="4132135" y="1350918"/>
              </a:lnTo>
              <a:lnTo>
                <a:pt x="4129352" y="1348954"/>
              </a:lnTo>
              <a:lnTo>
                <a:pt x="4116422" y="1353254"/>
              </a:lnTo>
              <a:lnTo>
                <a:pt x="4105228" y="1357784"/>
              </a:lnTo>
              <a:lnTo>
                <a:pt x="4090771" y="1364734"/>
              </a:lnTo>
              <a:lnTo>
                <a:pt x="4072648" y="1373816"/>
              </a:lnTo>
              <a:lnTo>
                <a:pt x="4050454" y="1384744"/>
              </a:lnTo>
              <a:lnTo>
                <a:pt x="3993356" y="1412354"/>
              </a:lnTo>
              <a:lnTo>
                <a:pt x="3921518" y="1447293"/>
              </a:lnTo>
              <a:lnTo>
                <a:pt x="3880613" y="1467389"/>
              </a:lnTo>
              <a:lnTo>
                <a:pt x="3836218" y="1489310"/>
              </a:lnTo>
              <a:lnTo>
                <a:pt x="3788502" y="1512754"/>
              </a:lnTo>
              <a:lnTo>
                <a:pt x="3737635" y="1537418"/>
              </a:lnTo>
              <a:lnTo>
                <a:pt x="3694635" y="1558064"/>
              </a:lnTo>
              <a:lnTo>
                <a:pt x="3649517" y="1579639"/>
              </a:lnTo>
              <a:lnTo>
                <a:pt x="3602379" y="1602018"/>
              </a:lnTo>
              <a:lnTo>
                <a:pt x="3553318" y="1625077"/>
              </a:lnTo>
              <a:lnTo>
                <a:pt x="3502431" y="1648692"/>
              </a:lnTo>
              <a:lnTo>
                <a:pt x="3458481" y="1668906"/>
              </a:lnTo>
              <a:lnTo>
                <a:pt x="3413033" y="1689706"/>
              </a:lnTo>
              <a:lnTo>
                <a:pt x="3366272" y="1710948"/>
              </a:lnTo>
              <a:lnTo>
                <a:pt x="3318384" y="1732493"/>
              </a:lnTo>
              <a:lnTo>
                <a:pt x="3269551" y="1754198"/>
              </a:lnTo>
              <a:lnTo>
                <a:pt x="3219961" y="1775923"/>
              </a:lnTo>
              <a:lnTo>
                <a:pt x="3176571" y="1794653"/>
              </a:lnTo>
              <a:lnTo>
                <a:pt x="3132135" y="1813610"/>
              </a:lnTo>
              <a:lnTo>
                <a:pt x="3086918" y="1832712"/>
              </a:lnTo>
              <a:lnTo>
                <a:pt x="3041184" y="1851878"/>
              </a:lnTo>
              <a:lnTo>
                <a:pt x="2995198" y="1871027"/>
              </a:lnTo>
              <a:lnTo>
                <a:pt x="2949225" y="1890076"/>
              </a:lnTo>
              <a:lnTo>
                <a:pt x="2903528" y="1908946"/>
              </a:lnTo>
              <a:lnTo>
                <a:pt x="2857784" y="1927754"/>
              </a:lnTo>
              <a:lnTo>
                <a:pt x="2811648" y="1946613"/>
              </a:lnTo>
              <a:lnTo>
                <a:pt x="2765357" y="1965431"/>
              </a:lnTo>
              <a:lnTo>
                <a:pt x="2719149" y="1984116"/>
              </a:lnTo>
              <a:lnTo>
                <a:pt x="2673260" y="2002576"/>
              </a:lnTo>
              <a:lnTo>
                <a:pt x="2627928" y="2020718"/>
              </a:lnTo>
              <a:lnTo>
                <a:pt x="2583389" y="2038450"/>
              </a:lnTo>
              <a:lnTo>
                <a:pt x="2532008" y="2058739"/>
              </a:lnTo>
              <a:lnTo>
                <a:pt x="2480920" y="2078722"/>
              </a:lnTo>
              <a:lnTo>
                <a:pt x="2430481" y="2098314"/>
              </a:lnTo>
              <a:lnTo>
                <a:pt x="2381050" y="2117432"/>
              </a:lnTo>
              <a:lnTo>
                <a:pt x="2332985" y="2135989"/>
              </a:lnTo>
              <a:lnTo>
                <a:pt x="2286644" y="2153900"/>
              </a:lnTo>
              <a:lnTo>
                <a:pt x="2232969" y="2174615"/>
              </a:lnTo>
              <a:lnTo>
                <a:pt x="2181032" y="2194569"/>
              </a:lnTo>
              <a:lnTo>
                <a:pt x="2131177" y="2213693"/>
              </a:lnTo>
              <a:lnTo>
                <a:pt x="2083745" y="2231919"/>
              </a:lnTo>
              <a:lnTo>
                <a:pt x="2039078" y="2249177"/>
              </a:lnTo>
              <a:lnTo>
                <a:pt x="1987146" y="2269375"/>
              </a:lnTo>
              <a:lnTo>
                <a:pt x="1939210" y="2288120"/>
              </a:lnTo>
              <a:lnTo>
                <a:pt x="1895175" y="2305451"/>
              </a:lnTo>
              <a:lnTo>
                <a:pt x="1854945" y="2321409"/>
              </a:lnTo>
              <a:lnTo>
                <a:pt x="1818660" y="2336017"/>
              </a:lnTo>
              <a:lnTo>
                <a:pt x="1757602" y="2361074"/>
              </a:lnTo>
              <a:lnTo>
                <a:pt x="1732211" y="2371461"/>
              </a:lnTo>
              <a:lnTo>
                <a:pt x="1710159" y="2380550"/>
              </a:lnTo>
              <a:lnTo>
                <a:pt x="1691577" y="2388307"/>
              </a:lnTo>
              <a:lnTo>
                <a:pt x="1676330" y="2394445"/>
              </a:lnTo>
              <a:lnTo>
                <a:pt x="1664283" y="2398673"/>
              </a:lnTo>
              <a:lnTo>
                <a:pt x="1650293" y="2402909"/>
              </a:lnTo>
              <a:lnTo>
                <a:pt x="1646127" y="2402003"/>
              </a:lnTo>
              <a:lnTo>
                <a:pt x="1677148" y="2367926"/>
              </a:lnTo>
              <a:lnTo>
                <a:pt x="1725736" y="2330431"/>
              </a:lnTo>
              <a:lnTo>
                <a:pt x="1773498" y="2295477"/>
              </a:lnTo>
              <a:lnTo>
                <a:pt x="1834015" y="2252118"/>
              </a:lnTo>
              <a:lnTo>
                <a:pt x="1868018" y="2227862"/>
              </a:lnTo>
              <a:lnTo>
                <a:pt x="1904375" y="2201952"/>
              </a:lnTo>
              <a:lnTo>
                <a:pt x="1943283" y="2174288"/>
              </a:lnTo>
              <a:lnTo>
                <a:pt x="1984580" y="2144978"/>
              </a:lnTo>
              <a:lnTo>
                <a:pt x="2028106" y="2114130"/>
              </a:lnTo>
              <a:lnTo>
                <a:pt x="2064632" y="2088275"/>
              </a:lnTo>
              <a:lnTo>
                <a:pt x="2102746" y="2061325"/>
              </a:lnTo>
              <a:lnTo>
                <a:pt x="2142258" y="2033411"/>
              </a:lnTo>
              <a:lnTo>
                <a:pt x="2182976" y="2004663"/>
              </a:lnTo>
              <a:lnTo>
                <a:pt x="2224712" y="1975212"/>
              </a:lnTo>
              <a:lnTo>
                <a:pt x="2267736" y="1944831"/>
              </a:lnTo>
              <a:lnTo>
                <a:pt x="2312174" y="1913432"/>
              </a:lnTo>
              <a:lnTo>
                <a:pt x="2357622" y="1881357"/>
              </a:lnTo>
              <a:lnTo>
                <a:pt x="2403671" y="1848945"/>
              </a:lnTo>
              <a:lnTo>
                <a:pt x="2449916" y="1816536"/>
              </a:lnTo>
              <a:lnTo>
                <a:pt x="2488744" y="1789473"/>
              </a:lnTo>
              <a:lnTo>
                <a:pt x="2528085" y="1762165"/>
              </a:lnTo>
              <a:lnTo>
                <a:pt x="2567751" y="1734702"/>
              </a:lnTo>
              <a:lnTo>
                <a:pt x="2607551" y="1707174"/>
              </a:lnTo>
              <a:lnTo>
                <a:pt x="2647295" y="1679668"/>
              </a:lnTo>
              <a:lnTo>
                <a:pt x="2686792" y="1652275"/>
              </a:lnTo>
              <a:lnTo>
                <a:pt x="2726338" y="1624831"/>
              </a:lnTo>
              <a:lnTo>
                <a:pt x="2766144" y="1597232"/>
              </a:lnTo>
              <a:lnTo>
                <a:pt x="2805893" y="1569657"/>
              </a:lnTo>
              <a:lnTo>
                <a:pt x="2845271" y="1542282"/>
              </a:lnTo>
              <a:lnTo>
                <a:pt x="2883962" y="1515285"/>
              </a:lnTo>
              <a:lnTo>
                <a:pt x="2921651" y="1488845"/>
              </a:lnTo>
              <a:lnTo>
                <a:pt x="2965848" y="1457650"/>
              </a:lnTo>
              <a:lnTo>
                <a:pt x="3009248" y="1426857"/>
              </a:lnTo>
              <a:lnTo>
                <a:pt x="3051563" y="1396680"/>
              </a:lnTo>
              <a:lnTo>
                <a:pt x="3092504" y="1367334"/>
              </a:lnTo>
              <a:lnTo>
                <a:pt x="3131784" y="1339032"/>
              </a:lnTo>
              <a:lnTo>
                <a:pt x="3178723" y="1305013"/>
              </a:lnTo>
              <a:lnTo>
                <a:pt x="3223463" y="1272343"/>
              </a:lnTo>
              <a:lnTo>
                <a:pt x="3265711" y="1241204"/>
              </a:lnTo>
              <a:lnTo>
                <a:pt x="3305176" y="1211777"/>
              </a:lnTo>
              <a:lnTo>
                <a:pt x="3342014" y="1183812"/>
              </a:lnTo>
              <a:lnTo>
                <a:pt x="3376302" y="1157310"/>
              </a:lnTo>
              <a:lnTo>
                <a:pt x="3407629" y="1132836"/>
              </a:lnTo>
              <a:lnTo>
                <a:pt x="3435584" y="1110953"/>
              </a:lnTo>
              <a:lnTo>
                <a:pt x="3460450" y="1091579"/>
              </a:lnTo>
              <a:lnTo>
                <a:pt x="3500476" y="1060040"/>
              </a:lnTo>
              <a:lnTo>
                <a:pt x="3529269" y="1034208"/>
              </a:lnTo>
              <a:lnTo>
                <a:pt x="3530237" y="1031505"/>
              </a:lnTo>
              <a:lnTo>
                <a:pt x="3526063" y="1032250"/>
              </a:lnTo>
              <a:lnTo>
                <a:pt x="3482811" y="1055151"/>
              </a:lnTo>
              <a:lnTo>
                <a:pt x="3429749" y="1086681"/>
              </a:lnTo>
              <a:lnTo>
                <a:pt x="3395882" y="1107441"/>
              </a:lnTo>
              <a:lnTo>
                <a:pt x="3357409" y="1131142"/>
              </a:lnTo>
              <a:lnTo>
                <a:pt x="3314619" y="1157403"/>
              </a:lnTo>
              <a:lnTo>
                <a:pt x="3277161" y="1180194"/>
              </a:lnTo>
              <a:lnTo>
                <a:pt x="3236715" y="1204706"/>
              </a:lnTo>
              <a:lnTo>
                <a:pt x="3193526" y="1230937"/>
              </a:lnTo>
              <a:lnTo>
                <a:pt x="3147840" y="1258886"/>
              </a:lnTo>
              <a:lnTo>
                <a:pt x="3099902" y="1288552"/>
              </a:lnTo>
              <a:lnTo>
                <a:pt x="3058047" y="1314764"/>
              </a:lnTo>
              <a:lnTo>
                <a:pt x="3014278" y="1342383"/>
              </a:lnTo>
              <a:lnTo>
                <a:pt x="2968832" y="1371195"/>
              </a:lnTo>
              <a:lnTo>
                <a:pt x="2921945" y="1400985"/>
              </a:lnTo>
              <a:lnTo>
                <a:pt x="2873852" y="1431540"/>
              </a:lnTo>
              <a:lnTo>
                <a:pt x="2824789" y="1462645"/>
              </a:lnTo>
              <a:lnTo>
                <a:pt x="2781721" y="1489842"/>
              </a:lnTo>
              <a:lnTo>
                <a:pt x="2737469" y="1517707"/>
              </a:lnTo>
              <a:lnTo>
                <a:pt x="2692256" y="1546160"/>
              </a:lnTo>
              <a:lnTo>
                <a:pt x="2646306" y="1575121"/>
              </a:lnTo>
              <a:lnTo>
                <a:pt x="2599845" y="1604511"/>
              </a:lnTo>
              <a:lnTo>
                <a:pt x="2553094" y="1634249"/>
              </a:lnTo>
              <a:lnTo>
                <a:pt x="2506279" y="1664255"/>
              </a:lnTo>
              <a:lnTo>
                <a:pt x="2465073" y="1690822"/>
              </a:lnTo>
              <a:lnTo>
                <a:pt x="2423386" y="1717783"/>
              </a:lnTo>
              <a:lnTo>
                <a:pt x="2381341" y="1745074"/>
              </a:lnTo>
              <a:lnTo>
                <a:pt x="2339057" y="1772631"/>
              </a:lnTo>
              <a:lnTo>
                <a:pt x="2296658" y="1800389"/>
              </a:lnTo>
              <a:lnTo>
                <a:pt x="2254263" y="1828284"/>
              </a:lnTo>
              <a:lnTo>
                <a:pt x="2211994" y="1856253"/>
              </a:lnTo>
              <a:lnTo>
                <a:pt x="2169972" y="1884231"/>
              </a:lnTo>
              <a:lnTo>
                <a:pt x="2127948" y="1912352"/>
              </a:lnTo>
              <a:lnTo>
                <a:pt x="2085698" y="1940733"/>
              </a:lnTo>
              <a:lnTo>
                <a:pt x="2043386" y="1969289"/>
              </a:lnTo>
              <a:lnTo>
                <a:pt x="2001173" y="1997932"/>
              </a:lnTo>
              <a:lnTo>
                <a:pt x="1959221" y="2026574"/>
              </a:lnTo>
              <a:lnTo>
                <a:pt x="1917693" y="2055131"/>
              </a:lnTo>
              <a:lnTo>
                <a:pt x="1876750" y="2083513"/>
              </a:lnTo>
              <a:lnTo>
                <a:pt x="1836556" y="2111635"/>
              </a:lnTo>
              <a:lnTo>
                <a:pt x="1791232" y="2143670"/>
              </a:lnTo>
              <a:lnTo>
                <a:pt x="1746280" y="2175758"/>
              </a:lnTo>
              <a:lnTo>
                <a:pt x="1701888" y="2207746"/>
              </a:lnTo>
              <a:lnTo>
                <a:pt x="1658247" y="2239481"/>
              </a:lnTo>
              <a:lnTo>
                <a:pt x="1615545" y="2270810"/>
              </a:lnTo>
              <a:lnTo>
                <a:pt x="1573970" y="2301579"/>
              </a:lnTo>
              <a:lnTo>
                <a:pt x="1533713" y="2331637"/>
              </a:lnTo>
              <a:lnTo>
                <a:pt x="1488233" y="2365972"/>
              </a:lnTo>
              <a:lnTo>
                <a:pt x="1444109" y="2399724"/>
              </a:lnTo>
              <a:lnTo>
                <a:pt x="1401435" y="2432784"/>
              </a:lnTo>
              <a:lnTo>
                <a:pt x="1360304" y="2465044"/>
              </a:lnTo>
              <a:lnTo>
                <a:pt x="1320812" y="2496398"/>
              </a:lnTo>
              <a:lnTo>
                <a:pt x="1283052" y="2526736"/>
              </a:lnTo>
              <a:lnTo>
                <a:pt x="1239948" y="2561940"/>
              </a:lnTo>
              <a:lnTo>
                <a:pt x="1199153" y="2595940"/>
              </a:lnTo>
              <a:lnTo>
                <a:pt x="1160742" y="2628583"/>
              </a:lnTo>
              <a:lnTo>
                <a:pt x="1124790" y="2659714"/>
              </a:lnTo>
              <a:lnTo>
                <a:pt x="1091370" y="2689178"/>
              </a:lnTo>
              <a:lnTo>
                <a:pt x="1053359" y="2723678"/>
              </a:lnTo>
              <a:lnTo>
                <a:pt x="1019370" y="2755731"/>
              </a:lnTo>
              <a:lnTo>
                <a:pt x="988978" y="2785348"/>
              </a:lnTo>
              <a:lnTo>
                <a:pt x="961763" y="2812537"/>
              </a:lnTo>
              <a:lnTo>
                <a:pt x="916795" y="2859922"/>
              </a:lnTo>
              <a:lnTo>
                <a:pt x="885227" y="2897004"/>
              </a:lnTo>
              <a:lnTo>
                <a:pt x="863162" y="2932001"/>
              </a:lnTo>
              <a:lnTo>
                <a:pt x="862825" y="2937944"/>
              </a:lnTo>
              <a:lnTo>
                <a:pt x="865802" y="2941022"/>
              </a:lnTo>
              <a:lnTo>
                <a:pt x="872130" y="2941269"/>
              </a:lnTo>
              <a:lnTo>
                <a:pt x="882407" y="2938452"/>
              </a:lnTo>
              <a:lnTo>
                <a:pt x="940048" y="2910246"/>
              </a:lnTo>
              <a:lnTo>
                <a:pt x="1001195" y="2875257"/>
              </a:lnTo>
              <a:lnTo>
                <a:pt x="1039296" y="2852822"/>
              </a:lnTo>
              <a:lnTo>
                <a:pt x="1082259" y="2827097"/>
              </a:lnTo>
              <a:lnTo>
                <a:pt x="1129950" y="2798262"/>
              </a:lnTo>
              <a:lnTo>
                <a:pt x="1182234" y="2766496"/>
              </a:lnTo>
              <a:lnTo>
                <a:pt x="1219710" y="2743620"/>
              </a:lnTo>
              <a:lnTo>
                <a:pt x="1259352" y="2719297"/>
              </a:lnTo>
              <a:lnTo>
                <a:pt x="1301056" y="2693645"/>
              </a:lnTo>
              <a:lnTo>
                <a:pt x="1344717" y="2666781"/>
              </a:lnTo>
              <a:lnTo>
                <a:pt x="1390229" y="2638822"/>
              </a:lnTo>
              <a:lnTo>
                <a:pt x="1437487" y="2609884"/>
              </a:lnTo>
              <a:lnTo>
                <a:pt x="1479510" y="2584254"/>
              </a:lnTo>
              <a:lnTo>
                <a:pt x="1523051" y="2557768"/>
              </a:lnTo>
              <a:lnTo>
                <a:pt x="1567992" y="2530464"/>
              </a:lnTo>
              <a:lnTo>
                <a:pt x="1614214" y="2502382"/>
              </a:lnTo>
              <a:lnTo>
                <a:pt x="1661600" y="2473559"/>
              </a:lnTo>
              <a:lnTo>
                <a:pt x="1710031" y="2444036"/>
              </a:lnTo>
              <a:lnTo>
                <a:pt x="1759390" y="2413850"/>
              </a:lnTo>
              <a:lnTo>
                <a:pt x="1798622" y="2389811"/>
              </a:lnTo>
              <a:lnTo>
                <a:pt x="1838788" y="2365192"/>
              </a:lnTo>
              <a:lnTo>
                <a:pt x="1879748" y="2340068"/>
              </a:lnTo>
              <a:lnTo>
                <a:pt x="1921365" y="2314512"/>
              </a:lnTo>
              <a:lnTo>
                <a:pt x="1963499" y="2288598"/>
              </a:lnTo>
              <a:lnTo>
                <a:pt x="2006014" y="2262398"/>
              </a:lnTo>
              <a:lnTo>
                <a:pt x="2048769" y="2235988"/>
              </a:lnTo>
              <a:lnTo>
                <a:pt x="2091628" y="2209440"/>
              </a:lnTo>
              <a:lnTo>
                <a:pt x="2134451" y="2182829"/>
              </a:lnTo>
              <a:lnTo>
                <a:pt x="2177530" y="2156003"/>
              </a:lnTo>
              <a:lnTo>
                <a:pt x="2221150" y="2128816"/>
              </a:lnTo>
              <a:lnTo>
                <a:pt x="2265161" y="2101342"/>
              </a:lnTo>
              <a:lnTo>
                <a:pt x="2309413" y="2073657"/>
              </a:lnTo>
              <a:lnTo>
                <a:pt x="2353756" y="2045837"/>
              </a:lnTo>
              <a:lnTo>
                <a:pt x="2398043" y="2017956"/>
              </a:lnTo>
              <a:lnTo>
                <a:pt x="2442121" y="1990090"/>
              </a:lnTo>
              <a:lnTo>
                <a:pt x="2485843" y="1962315"/>
              </a:lnTo>
              <a:lnTo>
                <a:pt x="2529059" y="1934705"/>
              </a:lnTo>
              <a:lnTo>
                <a:pt x="2572014" y="1907110"/>
              </a:lnTo>
              <a:lnTo>
                <a:pt x="2614981" y="1879375"/>
              </a:lnTo>
              <a:lnTo>
                <a:pt x="2657851" y="1851579"/>
              </a:lnTo>
              <a:lnTo>
                <a:pt x="2700513" y="1823798"/>
              </a:lnTo>
              <a:lnTo>
                <a:pt x="2742859" y="1796109"/>
              </a:lnTo>
              <a:lnTo>
                <a:pt x="2784778" y="1768589"/>
              </a:lnTo>
              <a:lnTo>
                <a:pt x="2826160" y="1741315"/>
              </a:lnTo>
              <a:lnTo>
                <a:pt x="2866896" y="1714364"/>
              </a:lnTo>
              <a:lnTo>
                <a:pt x="2906877" y="1687812"/>
              </a:lnTo>
              <a:lnTo>
                <a:pt x="2951189" y="1658253"/>
              </a:lnTo>
              <a:lnTo>
                <a:pt x="2995023" y="1628869"/>
              </a:lnTo>
              <a:lnTo>
                <a:pt x="3038259" y="1599740"/>
              </a:lnTo>
              <a:lnTo>
                <a:pt x="3080775" y="1570951"/>
              </a:lnTo>
              <a:lnTo>
                <a:pt x="3122453" y="1542582"/>
              </a:lnTo>
              <a:lnTo>
                <a:pt x="3163170" y="1514716"/>
              </a:lnTo>
              <a:lnTo>
                <a:pt x="3202808" y="1487436"/>
              </a:lnTo>
              <a:lnTo>
                <a:pt x="3241245" y="1460824"/>
              </a:lnTo>
              <a:lnTo>
                <a:pt x="3283869" y="1431087"/>
              </a:lnTo>
              <a:lnTo>
                <a:pt x="3325293" y="1401934"/>
              </a:lnTo>
              <a:lnTo>
                <a:pt x="3365439" y="1373447"/>
              </a:lnTo>
              <a:lnTo>
                <a:pt x="3404225" y="1345708"/>
              </a:lnTo>
              <a:lnTo>
                <a:pt x="3441573" y="1318799"/>
              </a:lnTo>
              <a:lnTo>
                <a:pt x="3477402" y="1292800"/>
              </a:lnTo>
              <a:lnTo>
                <a:pt x="3511634" y="1267795"/>
              </a:lnTo>
              <a:lnTo>
                <a:pt x="3556892" y="1234352"/>
              </a:lnTo>
              <a:lnTo>
                <a:pt x="3599179" y="1202607"/>
              </a:lnTo>
              <a:lnTo>
                <a:pt x="3638565" y="1172613"/>
              </a:lnTo>
              <a:lnTo>
                <a:pt x="3675125" y="1144420"/>
              </a:lnTo>
              <a:lnTo>
                <a:pt x="3708928" y="1118082"/>
              </a:lnTo>
              <a:lnTo>
                <a:pt x="3746948" y="1087879"/>
              </a:lnTo>
              <a:lnTo>
                <a:pt x="3780353" y="1060598"/>
              </a:lnTo>
              <a:lnTo>
                <a:pt x="3809847" y="1036002"/>
              </a:lnTo>
              <a:lnTo>
                <a:pt x="3859169" y="994115"/>
              </a:lnTo>
              <a:lnTo>
                <a:pt x="3894914" y="962219"/>
              </a:lnTo>
              <a:lnTo>
                <a:pt x="3926088" y="933427"/>
              </a:lnTo>
              <a:lnTo>
                <a:pt x="3930616" y="928948"/>
              </a:lnTo>
              <a:lnTo>
                <a:pt x="3932560" y="927124"/>
              </a:lnTo>
              <a:lnTo>
                <a:pt x="3903221" y="956745"/>
              </a:lnTo>
              <a:lnTo>
                <a:pt x="3889750" y="969453"/>
              </a:lnTo>
              <a:lnTo>
                <a:pt x="3873665" y="984671"/>
              </a:lnTo>
              <a:lnTo>
                <a:pt x="3854876" y="1002670"/>
              </a:lnTo>
              <a:lnTo>
                <a:pt x="3833334" y="1023714"/>
              </a:lnTo>
              <a:lnTo>
                <a:pt x="3809096" y="1047594"/>
              </a:lnTo>
              <a:lnTo>
                <a:pt x="3782229" y="1073875"/>
              </a:lnTo>
              <a:lnTo>
                <a:pt x="3752803" y="1102123"/>
              </a:lnTo>
              <a:lnTo>
                <a:pt x="3720647" y="1132394"/>
              </a:lnTo>
              <a:lnTo>
                <a:pt x="3685787" y="1164862"/>
              </a:lnTo>
              <a:lnTo>
                <a:pt x="3648588" y="1199270"/>
              </a:lnTo>
              <a:lnTo>
                <a:pt x="3609412" y="1235358"/>
              </a:lnTo>
              <a:lnTo>
                <a:pt x="3576501" y="1265518"/>
              </a:lnTo>
              <a:lnTo>
                <a:pt x="3542043" y="1296929"/>
              </a:lnTo>
              <a:lnTo>
                <a:pt x="3506345" y="1329410"/>
              </a:lnTo>
              <a:lnTo>
                <a:pt x="3469714" y="1362779"/>
              </a:lnTo>
              <a:lnTo>
                <a:pt x="3432460" y="1396855"/>
              </a:lnTo>
              <a:lnTo>
                <a:pt x="3394396" y="1431807"/>
              </a:lnTo>
              <a:lnTo>
                <a:pt x="3355318" y="1467756"/>
              </a:lnTo>
              <a:lnTo>
                <a:pt x="3315504" y="1504448"/>
              </a:lnTo>
              <a:lnTo>
                <a:pt x="3275229" y="1541631"/>
              </a:lnTo>
              <a:lnTo>
                <a:pt x="3234773" y="1579051"/>
              </a:lnTo>
              <a:lnTo>
                <a:pt x="3200791" y="1610504"/>
              </a:lnTo>
              <a:lnTo>
                <a:pt x="3166386" y="1642359"/>
              </a:lnTo>
              <a:lnTo>
                <a:pt x="3131725" y="1674497"/>
              </a:lnTo>
              <a:lnTo>
                <a:pt x="3096979" y="1706796"/>
              </a:lnTo>
              <a:lnTo>
                <a:pt x="3062317" y="1739138"/>
              </a:lnTo>
              <a:lnTo>
                <a:pt x="3027908" y="1771404"/>
              </a:lnTo>
              <a:lnTo>
                <a:pt x="2993585" y="1803721"/>
              </a:lnTo>
              <a:lnTo>
                <a:pt x="2959179" y="1836213"/>
              </a:lnTo>
              <a:lnTo>
                <a:pt x="2924856" y="1868747"/>
              </a:lnTo>
              <a:lnTo>
                <a:pt x="2890785" y="1901193"/>
              </a:lnTo>
              <a:lnTo>
                <a:pt x="2857134" y="1933419"/>
              </a:lnTo>
              <a:lnTo>
                <a:pt x="2824069" y="1965296"/>
              </a:lnTo>
              <a:lnTo>
                <a:pt x="2784927" y="2003311"/>
              </a:lnTo>
              <a:lnTo>
                <a:pt x="2746204" y="2041194"/>
              </a:lnTo>
              <a:lnTo>
                <a:pt x="2708177" y="2078669"/>
              </a:lnTo>
              <a:lnTo>
                <a:pt x="2671125" y="2115462"/>
              </a:lnTo>
              <a:lnTo>
                <a:pt x="2635324" y="2151297"/>
              </a:lnTo>
              <a:lnTo>
                <a:pt x="2600677" y="2186316"/>
              </a:lnTo>
              <a:lnTo>
                <a:pt x="2566999" y="2220703"/>
              </a:lnTo>
              <a:lnTo>
                <a:pt x="2534437" y="2254245"/>
              </a:lnTo>
              <a:lnTo>
                <a:pt x="2503137" y="2286726"/>
              </a:lnTo>
              <a:lnTo>
                <a:pt x="2473247" y="2317932"/>
              </a:lnTo>
              <a:lnTo>
                <a:pt x="2437795" y="2355315"/>
              </a:lnTo>
              <a:lnTo>
                <a:pt x="2404355" y="2391025"/>
              </a:lnTo>
              <a:lnTo>
                <a:pt x="2373038" y="2424775"/>
              </a:lnTo>
              <a:lnTo>
                <a:pt x="2343952" y="2456278"/>
              </a:lnTo>
              <a:lnTo>
                <a:pt x="2317154" y="2485458"/>
              </a:lnTo>
              <a:lnTo>
                <a:pt x="2270145" y="2537365"/>
              </a:lnTo>
              <a:lnTo>
                <a:pt x="2231531" y="2580989"/>
              </a:lnTo>
              <a:lnTo>
                <a:pt x="2201311" y="2616332"/>
              </a:lnTo>
              <a:lnTo>
                <a:pt x="2171272" y="2653688"/>
              </a:lnTo>
              <a:lnTo>
                <a:pt x="2165158" y="2661939"/>
              </a:lnTo>
              <a:lnTo>
                <a:pt x="2160554" y="2668025"/>
              </a:lnTo>
              <a:lnTo>
                <a:pt x="2155291" y="2674676"/>
              </a:lnTo>
              <a:lnTo>
                <a:pt x="2154751" y="2675504"/>
              </a:lnTo>
              <a:lnTo>
                <a:pt x="2157618" y="2670776"/>
              </a:lnTo>
              <a:lnTo>
                <a:pt x="2160575" y="2666068"/>
              </a:lnTo>
              <a:lnTo>
                <a:pt x="2165030" y="2659175"/>
              </a:lnTo>
              <a:lnTo>
                <a:pt x="2170815" y="2650302"/>
              </a:lnTo>
              <a:lnTo>
                <a:pt x="2177760" y="2639656"/>
              </a:lnTo>
              <a:lnTo>
                <a:pt x="2185727" y="2627368"/>
              </a:lnTo>
              <a:lnTo>
                <a:pt x="2217361" y="2579069"/>
              </a:lnTo>
              <a:lnTo>
                <a:pt x="2246096" y="2536151"/>
              </a:lnTo>
              <a:lnTo>
                <a:pt x="2281030" y="2484887"/>
              </a:lnTo>
              <a:lnTo>
                <a:pt x="2322257" y="2424985"/>
              </a:lnTo>
              <a:lnTo>
                <a:pt x="2345330" y="2392060"/>
              </a:lnTo>
              <a:lnTo>
                <a:pt x="2370222" y="2357518"/>
              </a:lnTo>
              <a:lnTo>
                <a:pt x="2397112" y="2321150"/>
              </a:lnTo>
              <a:lnTo>
                <a:pt x="2425881" y="2282904"/>
              </a:lnTo>
              <a:lnTo>
                <a:pt x="2456216" y="2243287"/>
              </a:lnTo>
              <a:lnTo>
                <a:pt x="2487808" y="2202806"/>
              </a:lnTo>
              <a:lnTo>
                <a:pt x="2520769" y="2161276"/>
              </a:lnTo>
              <a:lnTo>
                <a:pt x="2555200" y="2118535"/>
              </a:lnTo>
              <a:lnTo>
                <a:pt x="2590771" y="2075118"/>
              </a:lnTo>
              <a:lnTo>
                <a:pt x="2627155" y="2031563"/>
              </a:lnTo>
              <a:lnTo>
                <a:pt x="2656916" y="1996600"/>
              </a:lnTo>
              <a:lnTo>
                <a:pt x="2687389" y="1961329"/>
              </a:lnTo>
              <a:lnTo>
                <a:pt x="2718390" y="1925907"/>
              </a:lnTo>
              <a:lnTo>
                <a:pt x="2749737" y="1890493"/>
              </a:lnTo>
              <a:lnTo>
                <a:pt x="2781247" y="1855245"/>
              </a:lnTo>
              <a:lnTo>
                <a:pt x="2813180" y="1819959"/>
              </a:lnTo>
              <a:lnTo>
                <a:pt x="2845660" y="1784530"/>
              </a:lnTo>
              <a:lnTo>
                <a:pt x="2878293" y="1749263"/>
              </a:lnTo>
              <a:lnTo>
                <a:pt x="2910687" y="1714466"/>
              </a:lnTo>
              <a:lnTo>
                <a:pt x="2942448" y="1680443"/>
              </a:lnTo>
              <a:lnTo>
                <a:pt x="2981608" y="1638728"/>
              </a:lnTo>
              <a:lnTo>
                <a:pt x="3020394" y="1597742"/>
              </a:lnTo>
              <a:lnTo>
                <a:pt x="3058192" y="1557975"/>
              </a:lnTo>
              <a:lnTo>
                <a:pt x="3094388" y="1519914"/>
              </a:lnTo>
              <a:lnTo>
                <a:pt x="3129020" y="1483505"/>
              </a:lnTo>
              <a:lnTo>
                <a:pt x="3162348" y="1448548"/>
              </a:lnTo>
              <a:lnTo>
                <a:pt x="3194092" y="1415318"/>
              </a:lnTo>
              <a:lnTo>
                <a:pt x="3223970" y="1384092"/>
              </a:lnTo>
              <a:lnTo>
                <a:pt x="3252008" y="1354892"/>
              </a:lnTo>
              <a:lnTo>
                <a:pt x="3302770" y="1302226"/>
              </a:lnTo>
              <a:lnTo>
                <a:pt x="3325208" y="1278852"/>
              </a:lnTo>
              <a:lnTo>
                <a:pt x="3345715" y="1257284"/>
              </a:lnTo>
              <a:lnTo>
                <a:pt x="3364326" y="1237563"/>
              </a:lnTo>
              <a:lnTo>
                <a:pt x="3380843" y="1220066"/>
              </a:lnTo>
              <a:lnTo>
                <a:pt x="3416875" y="1183068"/>
              </a:lnTo>
              <a:lnTo>
                <a:pt x="3433999" y="1166768"/>
              </a:lnTo>
              <a:lnTo>
                <a:pt x="3432949" y="1169554"/>
              </a:lnTo>
              <a:lnTo>
                <a:pt x="3423576" y="1178921"/>
              </a:lnTo>
              <a:lnTo>
                <a:pt x="3415365" y="1187202"/>
              </a:lnTo>
              <a:lnTo>
                <a:pt x="3373009" y="1227343"/>
              </a:lnTo>
              <a:lnTo>
                <a:pt x="3327561" y="1266936"/>
              </a:lnTo>
              <a:lnTo>
                <a:pt x="3268071" y="1317015"/>
              </a:lnTo>
              <a:lnTo>
                <a:pt x="3232589" y="1346288"/>
              </a:lnTo>
              <a:lnTo>
                <a:pt x="3193359" y="1378353"/>
              </a:lnTo>
              <a:lnTo>
                <a:pt x="3150757" y="1412828"/>
              </a:lnTo>
              <a:lnTo>
                <a:pt x="3105161" y="1449330"/>
              </a:lnTo>
              <a:lnTo>
                <a:pt x="3066415" y="1480114"/>
              </a:lnTo>
              <a:lnTo>
                <a:pt x="3025499" y="1512462"/>
              </a:lnTo>
              <a:lnTo>
                <a:pt x="2982673" y="1546097"/>
              </a:lnTo>
              <a:lnTo>
                <a:pt x="2938199" y="1580740"/>
              </a:lnTo>
              <a:lnTo>
                <a:pt x="2892338" y="1616114"/>
              </a:lnTo>
              <a:lnTo>
                <a:pt x="2852821" y="1646268"/>
              </a:lnTo>
              <a:lnTo>
                <a:pt x="2811917" y="1677216"/>
              </a:lnTo>
              <a:lnTo>
                <a:pt x="2769930" y="1708800"/>
              </a:lnTo>
              <a:lnTo>
                <a:pt x="2727161" y="1740863"/>
              </a:lnTo>
              <a:lnTo>
                <a:pt x="2683914" y="1773249"/>
              </a:lnTo>
              <a:lnTo>
                <a:pt x="2640492" y="1805800"/>
              </a:lnTo>
              <a:lnTo>
                <a:pt x="2602917" y="1833955"/>
              </a:lnTo>
              <a:lnTo>
                <a:pt x="2564734" y="1862492"/>
              </a:lnTo>
              <a:lnTo>
                <a:pt x="2526136" y="1891302"/>
              </a:lnTo>
              <a:lnTo>
                <a:pt x="2487315" y="1920276"/>
              </a:lnTo>
              <a:lnTo>
                <a:pt x="2448462" y="1949306"/>
              </a:lnTo>
              <a:lnTo>
                <a:pt x="2409769" y="1978281"/>
              </a:lnTo>
              <a:lnTo>
                <a:pt x="2371429" y="2007092"/>
              </a:lnTo>
              <a:lnTo>
                <a:pt x="2333245" y="2035872"/>
              </a:lnTo>
              <a:lnTo>
                <a:pt x="2294981" y="2064763"/>
              </a:lnTo>
              <a:lnTo>
                <a:pt x="2256771" y="2093667"/>
              </a:lnTo>
              <a:lnTo>
                <a:pt x="2218744" y="2122489"/>
              </a:lnTo>
              <a:lnTo>
                <a:pt x="2181033" y="2151134"/>
              </a:lnTo>
              <a:lnTo>
                <a:pt x="2143768" y="2179506"/>
              </a:lnTo>
              <a:lnTo>
                <a:pt x="2107082" y="2207508"/>
              </a:lnTo>
              <a:lnTo>
                <a:pt x="2064745" y="2239895"/>
              </a:lnTo>
              <a:lnTo>
                <a:pt x="2022719" y="2272114"/>
              </a:lnTo>
              <a:lnTo>
                <a:pt x="1981241" y="2304004"/>
              </a:lnTo>
              <a:lnTo>
                <a:pt x="1940550" y="2335405"/>
              </a:lnTo>
              <a:lnTo>
                <a:pt x="1900883" y="2366156"/>
              </a:lnTo>
              <a:lnTo>
                <a:pt x="1862478" y="2396097"/>
              </a:lnTo>
              <a:lnTo>
                <a:pt x="1817841" y="2431114"/>
              </a:lnTo>
              <a:lnTo>
                <a:pt x="1774538" y="2465302"/>
              </a:lnTo>
              <a:lnTo>
                <a:pt x="1732780" y="2498501"/>
              </a:lnTo>
              <a:lnTo>
                <a:pt x="1692777" y="2530551"/>
              </a:lnTo>
              <a:lnTo>
                <a:pt x="1654741" y="2561292"/>
              </a:lnTo>
              <a:lnTo>
                <a:pt x="1609866" y="2598004"/>
              </a:lnTo>
              <a:lnTo>
                <a:pt x="1567795" y="2632911"/>
              </a:lnTo>
              <a:lnTo>
                <a:pt x="1528674" y="2665792"/>
              </a:lnTo>
              <a:lnTo>
                <a:pt x="1492649" y="2696427"/>
              </a:lnTo>
              <a:lnTo>
                <a:pt x="1459826" y="2724810"/>
              </a:lnTo>
              <a:lnTo>
                <a:pt x="1430105" y="2751040"/>
              </a:lnTo>
              <a:lnTo>
                <a:pt x="1379315" y="2796800"/>
              </a:lnTo>
              <a:lnTo>
                <a:pt x="1339807" y="2833828"/>
              </a:lnTo>
              <a:lnTo>
                <a:pt x="1324228" y="2848824"/>
              </a:lnTo>
              <a:lnTo>
                <a:pt x="1311246" y="2861108"/>
              </a:lnTo>
              <a:lnTo>
                <a:pt x="1283317" y="2884394"/>
              </a:lnTo>
              <a:lnTo>
                <a:pt x="1288972" y="2877679"/>
              </a:lnTo>
              <a:lnTo>
                <a:pt x="1298227" y="2866525"/>
              </a:lnTo>
              <a:lnTo>
                <a:pt x="1327475" y="2831875"/>
              </a:lnTo>
              <a:lnTo>
                <a:pt x="1356437" y="2799492"/>
              </a:lnTo>
              <a:lnTo>
                <a:pt x="1392983" y="2759886"/>
              </a:lnTo>
              <a:lnTo>
                <a:pt x="1437546" y="2713556"/>
              </a:lnTo>
              <a:lnTo>
                <a:pt x="1490127" y="2660501"/>
              </a:lnTo>
              <a:lnTo>
                <a:pt x="1519430" y="2631511"/>
              </a:lnTo>
              <a:lnTo>
                <a:pt x="1550946" y="2600632"/>
              </a:lnTo>
              <a:lnTo>
                <a:pt x="1584606" y="2567935"/>
              </a:lnTo>
              <a:lnTo>
                <a:pt x="1620004" y="2533950"/>
              </a:lnTo>
              <a:lnTo>
                <a:pt x="1656738" y="2499208"/>
              </a:lnTo>
              <a:lnTo>
                <a:pt x="1695086" y="2463568"/>
              </a:lnTo>
              <a:lnTo>
                <a:pt x="1735135" y="2426840"/>
              </a:lnTo>
              <a:lnTo>
                <a:pt x="1776192" y="2389485"/>
              </a:lnTo>
              <a:lnTo>
                <a:pt x="1817564" y="2351963"/>
              </a:lnTo>
              <a:lnTo>
                <a:pt x="1859532" y="2314065"/>
              </a:lnTo>
              <a:lnTo>
                <a:pt x="1902312" y="2275655"/>
              </a:lnTo>
              <a:lnTo>
                <a:pt x="1945106" y="2237308"/>
              </a:lnTo>
              <a:lnTo>
                <a:pt x="1987119" y="2199599"/>
              </a:lnTo>
              <a:lnTo>
                <a:pt x="2028461" y="2162395"/>
              </a:lnTo>
              <a:lnTo>
                <a:pt x="2069449" y="2125484"/>
              </a:lnTo>
              <a:lnTo>
                <a:pt x="2109598" y="2089325"/>
              </a:lnTo>
              <a:lnTo>
                <a:pt x="2148424" y="2054376"/>
              </a:lnTo>
              <a:lnTo>
                <a:pt x="2186046" y="2020628"/>
              </a:lnTo>
              <a:lnTo>
                <a:pt x="2222639" y="1987882"/>
              </a:lnTo>
              <a:lnTo>
                <a:pt x="2257806" y="1956306"/>
              </a:lnTo>
              <a:lnTo>
                <a:pt x="2291148" y="1926071"/>
              </a:lnTo>
              <a:lnTo>
                <a:pt x="2322705" y="1897131"/>
              </a:lnTo>
              <a:lnTo>
                <a:pt x="2352640" y="1869426"/>
              </a:lnTo>
              <a:lnTo>
                <a:pt x="2380743" y="1843105"/>
              </a:lnTo>
              <a:lnTo>
                <a:pt x="2430708" y="1795030"/>
              </a:lnTo>
              <a:lnTo>
                <a:pt x="2472601" y="1752906"/>
              </a:lnTo>
              <a:lnTo>
                <a:pt x="2507340" y="1717490"/>
              </a:lnTo>
              <a:lnTo>
                <a:pt x="2534925" y="1688783"/>
              </a:lnTo>
              <a:lnTo>
                <a:pt x="2565125" y="1655346"/>
              </a:lnTo>
              <a:lnTo>
                <a:pt x="2572330" y="1646851"/>
              </a:lnTo>
              <a:lnTo>
                <a:pt x="2578430" y="1639847"/>
              </a:lnTo>
              <a:lnTo>
                <a:pt x="2585926" y="1631546"/>
              </a:lnTo>
              <a:lnTo>
                <a:pt x="2590148" y="1626815"/>
              </a:lnTo>
              <a:lnTo>
                <a:pt x="2591471" y="1626615"/>
              </a:lnTo>
              <a:lnTo>
                <a:pt x="2592793" y="1626414"/>
              </a:lnTo>
              <a:lnTo>
                <a:pt x="2590785" y="1630170"/>
              </a:lnTo>
              <a:lnTo>
                <a:pt x="2586365" y="1638644"/>
              </a:lnTo>
              <a:lnTo>
                <a:pt x="2564951" y="1677461"/>
              </a:lnTo>
              <a:lnTo>
                <a:pt x="2539417" y="1721730"/>
              </a:lnTo>
              <a:lnTo>
                <a:pt x="2529297" y="1739273"/>
              </a:lnTo>
              <a:lnTo>
                <a:pt x="2518489" y="1758156"/>
              </a:lnTo>
              <a:lnTo>
                <a:pt x="2506934" y="1778408"/>
              </a:lnTo>
              <a:lnTo>
                <a:pt x="2494546" y="1800057"/>
              </a:lnTo>
              <a:lnTo>
                <a:pt x="2481240" y="1823135"/>
              </a:lnTo>
              <a:lnTo>
                <a:pt x="2466851" y="1847766"/>
              </a:lnTo>
              <a:lnTo>
                <a:pt x="2451473" y="1873897"/>
              </a:lnTo>
              <a:lnTo>
                <a:pt x="2435404" y="1901284"/>
              </a:lnTo>
              <a:lnTo>
                <a:pt x="2402070" y="1959194"/>
              </a:lnTo>
              <a:lnTo>
                <a:pt x="2366847" y="2021496"/>
              </a:lnTo>
              <a:lnTo>
                <a:pt x="2330357" y="2086850"/>
              </a:lnTo>
              <a:lnTo>
                <a:pt x="2311573" y="2120805"/>
              </a:lnTo>
              <a:lnTo>
                <a:pt x="2292600" y="2155256"/>
              </a:lnTo>
              <a:lnTo>
                <a:pt x="2273622" y="2189826"/>
              </a:lnTo>
              <a:lnTo>
                <a:pt x="2254582" y="2224562"/>
              </a:lnTo>
              <a:lnTo>
                <a:pt x="2235417" y="2259617"/>
              </a:lnTo>
              <a:lnTo>
                <a:pt x="2216303" y="2294769"/>
              </a:lnTo>
              <a:lnTo>
                <a:pt x="2197417" y="2329800"/>
              </a:lnTo>
              <a:lnTo>
                <a:pt x="2178640" y="2364913"/>
              </a:lnTo>
              <a:lnTo>
                <a:pt x="2159935" y="2400140"/>
              </a:lnTo>
              <a:lnTo>
                <a:pt x="2141594" y="2434996"/>
              </a:lnTo>
              <a:lnTo>
                <a:pt x="2123913" y="2468997"/>
              </a:lnTo>
              <a:lnTo>
                <a:pt x="2090226" y="2534844"/>
              </a:lnTo>
              <a:lnTo>
                <a:pt x="2059392" y="2597104"/>
              </a:lnTo>
              <a:lnTo>
                <a:pt x="2032216" y="2654876"/>
              </a:lnTo>
              <a:lnTo>
                <a:pt x="2008712" y="2707607"/>
              </a:lnTo>
              <a:lnTo>
                <a:pt x="1989005" y="2754660"/>
              </a:lnTo>
              <a:lnTo>
                <a:pt x="1973567" y="2795383"/>
              </a:lnTo>
              <a:lnTo>
                <a:pt x="1959418" y="2843320"/>
              </a:lnTo>
              <a:lnTo>
                <a:pt x="1955624" y="2872625"/>
              </a:lnTo>
              <a:lnTo>
                <a:pt x="1956706" y="2878088"/>
              </a:lnTo>
              <a:lnTo>
                <a:pt x="1959084" y="2881273"/>
              </a:lnTo>
              <a:lnTo>
                <a:pt x="1962830" y="2882045"/>
              </a:lnTo>
              <a:lnTo>
                <a:pt x="1967885" y="2880493"/>
              </a:lnTo>
              <a:lnTo>
                <a:pt x="1999414" y="2854451"/>
              </a:lnTo>
              <a:lnTo>
                <a:pt x="2033927" y="2816484"/>
              </a:lnTo>
              <a:lnTo>
                <a:pt x="2061635" y="2783636"/>
              </a:lnTo>
              <a:lnTo>
                <a:pt x="2092119" y="2745081"/>
              </a:lnTo>
              <a:lnTo>
                <a:pt x="2125379" y="2700819"/>
              </a:lnTo>
              <a:lnTo>
                <a:pt x="2160480" y="2653087"/>
              </a:lnTo>
              <a:lnTo>
                <a:pt x="2197421" y="2601885"/>
              </a:lnTo>
              <a:lnTo>
                <a:pt x="2234979" y="2548807"/>
              </a:lnTo>
              <a:lnTo>
                <a:pt x="2273154" y="2493852"/>
              </a:lnTo>
              <a:lnTo>
                <a:pt x="2310824" y="2438543"/>
              </a:lnTo>
              <a:lnTo>
                <a:pt x="2347988" y="2382879"/>
              </a:lnTo>
              <a:lnTo>
                <a:pt x="2383843" y="2328528"/>
              </a:lnTo>
              <a:lnTo>
                <a:pt x="2418387" y="2275491"/>
              </a:lnTo>
              <a:lnTo>
                <a:pt x="2450076" y="2225228"/>
              </a:lnTo>
              <a:lnTo>
                <a:pt x="2478907" y="2177737"/>
              </a:lnTo>
              <a:lnTo>
                <a:pt x="2504265" y="2133530"/>
              </a:lnTo>
              <a:lnTo>
                <a:pt x="2526149" y="2092608"/>
              </a:lnTo>
              <a:lnTo>
                <a:pt x="2544511" y="2056363"/>
              </a:lnTo>
              <a:lnTo>
                <a:pt x="2565179" y="2011500"/>
              </a:lnTo>
              <a:lnTo>
                <a:pt x="2578620" y="1967979"/>
              </a:lnTo>
              <a:lnTo>
                <a:pt x="2576943" y="1964079"/>
              </a:lnTo>
              <a:lnTo>
                <a:pt x="2543746" y="1984797"/>
              </a:lnTo>
              <a:lnTo>
                <a:pt x="2509450" y="2015487"/>
              </a:lnTo>
              <a:lnTo>
                <a:pt x="2480758" y="2042281"/>
              </a:lnTo>
              <a:lnTo>
                <a:pt x="2447520" y="2073891"/>
              </a:lnTo>
              <a:lnTo>
                <a:pt x="2429277" y="2091120"/>
              </a:lnTo>
              <a:lnTo>
                <a:pt x="2389175" y="2128624"/>
              </a:lnTo>
              <a:lnTo>
                <a:pt x="2345580" y="2169140"/>
              </a:lnTo>
              <a:lnTo>
                <a:pt x="2299218" y="2211782"/>
              </a:lnTo>
              <a:lnTo>
                <a:pt x="2275237" y="2233830"/>
              </a:lnTo>
              <a:lnTo>
                <a:pt x="2227242" y="2278540"/>
              </a:lnTo>
              <a:lnTo>
                <a:pt x="2178812" y="2324278"/>
              </a:lnTo>
              <a:lnTo>
                <a:pt x="2130483" y="2370400"/>
              </a:lnTo>
              <a:lnTo>
                <a:pt x="2082255" y="2416907"/>
              </a:lnTo>
              <a:lnTo>
                <a:pt x="2035821" y="2462008"/>
              </a:lnTo>
              <a:lnTo>
                <a:pt x="1991181" y="2505702"/>
              </a:lnTo>
              <a:lnTo>
                <a:pt x="1949169" y="2547080"/>
              </a:lnTo>
              <a:lnTo>
                <a:pt x="1929098" y="2566986"/>
              </a:lnTo>
              <a:lnTo>
                <a:pt x="1909784" y="2586141"/>
              </a:lnTo>
              <a:lnTo>
                <a:pt x="1891378" y="2604299"/>
              </a:lnTo>
              <a:lnTo>
                <a:pt x="1873808" y="2621459"/>
              </a:lnTo>
              <a:lnTo>
                <a:pt x="1857030" y="2637730"/>
              </a:lnTo>
              <a:lnTo>
                <a:pt x="1841239" y="2653031"/>
              </a:lnTo>
              <a:lnTo>
                <a:pt x="1826629" y="2667279"/>
              </a:lnTo>
              <a:lnTo>
                <a:pt x="1813142" y="2680605"/>
              </a:lnTo>
              <a:lnTo>
                <a:pt x="1800711" y="2693003"/>
              </a:lnTo>
              <a:lnTo>
                <a:pt x="1789518" y="2704181"/>
              </a:lnTo>
              <a:lnTo>
                <a:pt x="1779747" y="2713849"/>
              </a:lnTo>
              <a:lnTo>
                <a:pt x="1749863" y="2741623"/>
              </a:lnTo>
              <a:lnTo>
                <a:pt x="1748786" y="2741283"/>
              </a:lnTo>
              <a:lnTo>
                <a:pt x="1776270" y="2700273"/>
              </a:lnTo>
              <a:lnTo>
                <a:pt x="1794756" y="2676374"/>
              </a:lnTo>
              <a:lnTo>
                <a:pt x="1805366" y="2662673"/>
              </a:lnTo>
              <a:lnTo>
                <a:pt x="1816819" y="2647722"/>
              </a:lnTo>
              <a:lnTo>
                <a:pt x="1829205" y="2631510"/>
              </a:lnTo>
              <a:lnTo>
                <a:pt x="1842460" y="2614318"/>
              </a:lnTo>
              <a:lnTo>
                <a:pt x="1871471" y="2577732"/>
              </a:lnTo>
              <a:lnTo>
                <a:pt x="1903852" y="2537964"/>
              </a:lnTo>
              <a:lnTo>
                <a:pt x="1938332" y="2496783"/>
              </a:lnTo>
              <a:lnTo>
                <a:pt x="1974910" y="2454189"/>
              </a:lnTo>
              <a:lnTo>
                <a:pt x="2013189" y="2411192"/>
              </a:lnTo>
              <a:lnTo>
                <a:pt x="2053168" y="2367795"/>
              </a:lnTo>
              <a:lnTo>
                <a:pt x="2093436" y="2325454"/>
              </a:lnTo>
              <a:lnTo>
                <a:pt x="2133993" y="2284172"/>
              </a:lnTo>
              <a:lnTo>
                <a:pt x="2173234" y="2245383"/>
              </a:lnTo>
              <a:lnTo>
                <a:pt x="2211161" y="2209088"/>
              </a:lnTo>
              <a:lnTo>
                <a:pt x="2246903" y="2175391"/>
              </a:lnTo>
              <a:lnTo>
                <a:pt x="2280461" y="2144292"/>
              </a:lnTo>
              <a:lnTo>
                <a:pt x="2310403" y="2116768"/>
              </a:lnTo>
              <a:lnTo>
                <a:pt x="2348394" y="2082424"/>
              </a:lnTo>
              <a:lnTo>
                <a:pt x="2377247" y="2057495"/>
              </a:lnTo>
              <a:lnTo>
                <a:pt x="2401104" y="2040600"/>
              </a:lnTo>
              <a:lnTo>
                <a:pt x="2405549" y="2040907"/>
              </a:lnTo>
              <a:lnTo>
                <a:pt x="2409994" y="2041214"/>
              </a:lnTo>
              <a:lnTo>
                <a:pt x="2411754" y="2045522"/>
              </a:lnTo>
              <a:lnTo>
                <a:pt x="2411552" y="2053440"/>
              </a:lnTo>
              <a:lnTo>
                <a:pt x="2400657" y="2100612"/>
              </a:lnTo>
              <a:lnTo>
                <a:pt x="2385262" y="2144867"/>
              </a:lnTo>
              <a:lnTo>
                <a:pt x="2363590" y="2198938"/>
              </a:lnTo>
              <a:lnTo>
                <a:pt x="2346825" y="2239104"/>
              </a:lnTo>
              <a:lnTo>
                <a:pt x="2328417" y="2282304"/>
              </a:lnTo>
              <a:lnTo>
                <a:pt x="2318719" y="2304779"/>
              </a:lnTo>
              <a:lnTo>
                <a:pt x="2308727" y="2327955"/>
              </a:lnTo>
              <a:lnTo>
                <a:pt x="2287753" y="2376059"/>
              </a:lnTo>
              <a:lnTo>
                <a:pt x="2265414" y="2424389"/>
              </a:lnTo>
              <a:lnTo>
                <a:pt x="2241709" y="2472943"/>
              </a:lnTo>
              <a:lnTo>
                <a:pt x="2217272" y="2521281"/>
              </a:lnTo>
              <a:lnTo>
                <a:pt x="2192103" y="2569401"/>
              </a:lnTo>
              <a:lnTo>
                <a:pt x="2167568" y="2615752"/>
              </a:lnTo>
              <a:lnTo>
                <a:pt x="2143666" y="2660334"/>
              </a:lnTo>
              <a:lnTo>
                <a:pt x="2120784" y="2701382"/>
              </a:lnTo>
              <a:lnTo>
                <a:pt x="2098920" y="2738894"/>
              </a:lnTo>
              <a:lnTo>
                <a:pt x="2088882" y="2756118"/>
              </a:lnTo>
              <a:lnTo>
                <a:pt x="2079576" y="2772299"/>
              </a:lnTo>
              <a:lnTo>
                <a:pt x="2070877" y="2787486"/>
              </a:lnTo>
              <a:lnTo>
                <a:pt x="2062752" y="2801596"/>
              </a:lnTo>
              <a:lnTo>
                <a:pt x="2041660" y="2836933"/>
              </a:lnTo>
              <a:lnTo>
                <a:pt x="2020763" y="2868956"/>
              </a:lnTo>
              <a:lnTo>
                <a:pt x="2011306" y="2880986"/>
              </a:lnTo>
              <a:lnTo>
                <a:pt x="2010862" y="2880536"/>
              </a:lnTo>
              <a:lnTo>
                <a:pt x="2028051" y="2843514"/>
              </a:lnTo>
              <a:lnTo>
                <a:pt x="2049911" y="2802530"/>
              </a:lnTo>
              <a:lnTo>
                <a:pt x="2070603" y="2766842"/>
              </a:lnTo>
              <a:lnTo>
                <a:pt x="2096367" y="2724459"/>
              </a:lnTo>
              <a:lnTo>
                <a:pt x="2130036" y="2671712"/>
              </a:lnTo>
              <a:lnTo>
                <a:pt x="2171610" y="2608601"/>
              </a:lnTo>
              <a:lnTo>
                <a:pt x="2195246" y="2573842"/>
              </a:lnTo>
              <a:lnTo>
                <a:pt x="2220822" y="2537029"/>
              </a:lnTo>
              <a:lnTo>
                <a:pt x="2248329" y="2498046"/>
              </a:lnTo>
              <a:lnTo>
                <a:pt x="2277670" y="2456995"/>
              </a:lnTo>
              <a:lnTo>
                <a:pt x="2308748" y="2413975"/>
              </a:lnTo>
              <a:lnTo>
                <a:pt x="2334939" y="2378027"/>
              </a:lnTo>
              <a:lnTo>
                <a:pt x="2362356" y="2340668"/>
              </a:lnTo>
              <a:lnTo>
                <a:pt x="2390858" y="2302093"/>
              </a:lnTo>
              <a:lnTo>
                <a:pt x="2420306" y="2262497"/>
              </a:lnTo>
              <a:lnTo>
                <a:pt x="2450559" y="2222076"/>
              </a:lnTo>
              <a:lnTo>
                <a:pt x="2481803" y="2180569"/>
              </a:lnTo>
              <a:lnTo>
                <a:pt x="2514131" y="2137847"/>
              </a:lnTo>
              <a:lnTo>
                <a:pt x="2547265" y="2094299"/>
              </a:lnTo>
              <a:lnTo>
                <a:pt x="2580925" y="2050315"/>
              </a:lnTo>
              <a:lnTo>
                <a:pt x="2614835" y="2006283"/>
              </a:lnTo>
              <a:lnTo>
                <a:pt x="2643415" y="1969445"/>
              </a:lnTo>
              <a:lnTo>
                <a:pt x="2672470" y="1932240"/>
              </a:lnTo>
              <a:lnTo>
                <a:pt x="2701826" y="1894823"/>
              </a:lnTo>
              <a:lnTo>
                <a:pt x="2731311" y="1857346"/>
              </a:lnTo>
              <a:lnTo>
                <a:pt x="2760750" y="1819963"/>
              </a:lnTo>
              <a:lnTo>
                <a:pt x="2789969" y="1782827"/>
              </a:lnTo>
              <a:lnTo>
                <a:pt x="2819160" y="1745799"/>
              </a:lnTo>
              <a:lnTo>
                <a:pt x="2848501" y="1708728"/>
              </a:lnTo>
              <a:lnTo>
                <a:pt x="2877796" y="1671751"/>
              </a:lnTo>
              <a:lnTo>
                <a:pt x="2906849" y="1635004"/>
              </a:lnTo>
              <a:lnTo>
                <a:pt x="2935466" y="1598623"/>
              </a:lnTo>
              <a:lnTo>
                <a:pt x="2963450" y="1562745"/>
              </a:lnTo>
              <a:lnTo>
                <a:pt x="2996406" y="1520112"/>
              </a:lnTo>
              <a:lnTo>
                <a:pt x="3028881" y="1477808"/>
              </a:lnTo>
              <a:lnTo>
                <a:pt x="3060653" y="1436131"/>
              </a:lnTo>
              <a:lnTo>
                <a:pt x="3091500" y="1395377"/>
              </a:lnTo>
              <a:lnTo>
                <a:pt x="3121201" y="1355844"/>
              </a:lnTo>
              <a:lnTo>
                <a:pt x="3156937" y="1307917"/>
              </a:lnTo>
              <a:lnTo>
                <a:pt x="3191246" y="1261458"/>
              </a:lnTo>
              <a:lnTo>
                <a:pt x="3223731" y="1216857"/>
              </a:lnTo>
              <a:lnTo>
                <a:pt x="3253993" y="1174505"/>
              </a:lnTo>
              <a:lnTo>
                <a:pt x="3281934" y="1134389"/>
              </a:lnTo>
              <a:lnTo>
                <a:pt x="3307762" y="1096340"/>
              </a:lnTo>
              <a:lnTo>
                <a:pt x="3331546" y="1060511"/>
              </a:lnTo>
              <a:lnTo>
                <a:pt x="3353353" y="1027055"/>
              </a:lnTo>
              <a:lnTo>
                <a:pt x="3391159" y="966845"/>
              </a:lnTo>
              <a:lnTo>
                <a:pt x="3420725" y="916756"/>
              </a:lnTo>
              <a:lnTo>
                <a:pt x="3442199" y="877784"/>
              </a:lnTo>
              <a:lnTo>
                <a:pt x="3455841" y="841212"/>
              </a:lnTo>
              <a:lnTo>
                <a:pt x="3454809" y="835219"/>
              </a:lnTo>
              <a:lnTo>
                <a:pt x="3451292" y="832071"/>
              </a:lnTo>
              <a:lnTo>
                <a:pt x="3445511" y="831557"/>
              </a:lnTo>
              <a:lnTo>
                <a:pt x="3437640" y="833678"/>
              </a:lnTo>
              <a:lnTo>
                <a:pt x="3399447" y="856126"/>
              </a:lnTo>
              <a:lnTo>
                <a:pt x="3360108" y="884461"/>
              </a:lnTo>
              <a:lnTo>
                <a:pt x="3310094" y="922456"/>
              </a:lnTo>
              <a:lnTo>
                <a:pt x="3249141" y="969617"/>
              </a:lnTo>
              <a:lnTo>
                <a:pt x="3214899" y="996275"/>
              </a:lnTo>
              <a:lnTo>
                <a:pt x="3178629" y="1024312"/>
              </a:lnTo>
              <a:lnTo>
                <a:pt x="3140090" y="1053906"/>
              </a:lnTo>
              <a:lnTo>
                <a:pt x="3099200" y="1085222"/>
              </a:lnTo>
              <a:lnTo>
                <a:pt x="3056568" y="1117733"/>
              </a:lnTo>
              <a:lnTo>
                <a:pt x="3012800" y="1150916"/>
              </a:lnTo>
              <a:lnTo>
                <a:pt x="2976799" y="1178039"/>
              </a:lnTo>
              <a:lnTo>
                <a:pt x="2939677" y="1205881"/>
              </a:lnTo>
              <a:lnTo>
                <a:pt x="2901831" y="1234176"/>
              </a:lnTo>
              <a:lnTo>
                <a:pt x="2863660" y="1262655"/>
              </a:lnTo>
              <a:lnTo>
                <a:pt x="2825563" y="1291052"/>
              </a:lnTo>
              <a:lnTo>
                <a:pt x="2787289" y="1319564"/>
              </a:lnTo>
              <a:lnTo>
                <a:pt x="2748574" y="1348372"/>
              </a:lnTo>
              <a:lnTo>
                <a:pt x="2709791" y="1377175"/>
              </a:lnTo>
              <a:lnTo>
                <a:pt x="2671314" y="1405674"/>
              </a:lnTo>
              <a:lnTo>
                <a:pt x="2633520" y="1433572"/>
              </a:lnTo>
              <a:lnTo>
                <a:pt x="2586790" y="1467847"/>
              </a:lnTo>
              <a:lnTo>
                <a:pt x="2540464" y="1501639"/>
              </a:lnTo>
              <a:lnTo>
                <a:pt x="2495354" y="1534508"/>
              </a:lnTo>
              <a:lnTo>
                <a:pt x="2452271" y="1566015"/>
              </a:lnTo>
              <a:lnTo>
                <a:pt x="2411184" y="1596157"/>
              </a:lnTo>
              <a:lnTo>
                <a:pt x="2371742" y="1625130"/>
              </a:lnTo>
              <a:lnTo>
                <a:pt x="2334279" y="1652793"/>
              </a:lnTo>
              <a:lnTo>
                <a:pt x="2299128" y="1679006"/>
              </a:lnTo>
              <a:lnTo>
                <a:pt x="2266327" y="1703842"/>
              </a:lnTo>
              <a:lnTo>
                <a:pt x="2235715" y="1727341"/>
              </a:lnTo>
              <a:lnTo>
                <a:pt x="2181210" y="1769541"/>
              </a:lnTo>
              <a:lnTo>
                <a:pt x="2135515" y="1805282"/>
              </a:lnTo>
              <a:lnTo>
                <a:pt x="2116139" y="1820487"/>
              </a:lnTo>
              <a:lnTo>
                <a:pt x="2085191" y="1844206"/>
              </a:lnTo>
              <a:lnTo>
                <a:pt x="2049689" y="1867382"/>
              </a:lnTo>
              <a:lnTo>
                <a:pt x="2047987" y="1865450"/>
              </a:lnTo>
              <a:lnTo>
                <a:pt x="2072992" y="1826751"/>
              </a:lnTo>
              <a:lnTo>
                <a:pt x="2098937" y="1794748"/>
              </a:lnTo>
              <a:lnTo>
                <a:pt x="2134853" y="1753212"/>
              </a:lnTo>
              <a:lnTo>
                <a:pt x="2178590" y="1704631"/>
              </a:lnTo>
              <a:lnTo>
                <a:pt x="2230149" y="1649006"/>
              </a:lnTo>
              <a:lnTo>
                <a:pt x="2258663" y="1618417"/>
              </a:lnTo>
              <a:lnTo>
                <a:pt x="2289125" y="1585738"/>
              </a:lnTo>
              <a:lnTo>
                <a:pt x="2321532" y="1551059"/>
              </a:lnTo>
              <a:lnTo>
                <a:pt x="2355517" y="1514829"/>
              </a:lnTo>
              <a:lnTo>
                <a:pt x="2390711" y="1477498"/>
              </a:lnTo>
              <a:lnTo>
                <a:pt x="2427420" y="1438761"/>
              </a:lnTo>
              <a:lnTo>
                <a:pt x="2465706" y="1398518"/>
              </a:lnTo>
              <a:lnTo>
                <a:pt x="2504834" y="1357533"/>
              </a:lnTo>
              <a:lnTo>
                <a:pt x="2544071" y="1316572"/>
              </a:lnTo>
              <a:lnTo>
                <a:pt x="2575588" y="1283826"/>
              </a:lnTo>
              <a:lnTo>
                <a:pt x="2607498" y="1250818"/>
              </a:lnTo>
              <a:lnTo>
                <a:pt x="2639550" y="1217719"/>
              </a:lnTo>
              <a:lnTo>
                <a:pt x="2671496" y="1184701"/>
              </a:lnTo>
              <a:lnTo>
                <a:pt x="2703085" y="1151935"/>
              </a:lnTo>
              <a:lnTo>
                <a:pt x="2742351" y="1111094"/>
              </a:lnTo>
              <a:lnTo>
                <a:pt x="2781489" y="1070320"/>
              </a:lnTo>
              <a:lnTo>
                <a:pt x="2819991" y="1030059"/>
              </a:lnTo>
              <a:lnTo>
                <a:pt x="2857345" y="990753"/>
              </a:lnTo>
              <a:lnTo>
                <a:pt x="2893646" y="952227"/>
              </a:lnTo>
              <a:lnTo>
                <a:pt x="2929089" y="914344"/>
              </a:lnTo>
              <a:lnTo>
                <a:pt x="2963316" y="877601"/>
              </a:lnTo>
              <a:lnTo>
                <a:pt x="2995968" y="842497"/>
              </a:lnTo>
              <a:lnTo>
                <a:pt x="3027098" y="809085"/>
              </a:lnTo>
              <a:lnTo>
                <a:pt x="3056846" y="777125"/>
              </a:lnTo>
              <a:lnTo>
                <a:pt x="3084991" y="746679"/>
              </a:lnTo>
              <a:lnTo>
                <a:pt x="3111312" y="717808"/>
              </a:lnTo>
              <a:lnTo>
                <a:pt x="3158535" y="664409"/>
              </a:lnTo>
              <a:lnTo>
                <a:pt x="3198650" y="617999"/>
              </a:lnTo>
              <a:lnTo>
                <a:pt x="3231523" y="579564"/>
              </a:lnTo>
              <a:lnTo>
                <a:pt x="3257137" y="549218"/>
              </a:lnTo>
              <a:lnTo>
                <a:pt x="3275322" y="527229"/>
              </a:lnTo>
              <a:lnTo>
                <a:pt x="3281711" y="519479"/>
              </a:lnTo>
              <a:lnTo>
                <a:pt x="3286393" y="514124"/>
              </a:lnTo>
              <a:lnTo>
                <a:pt x="3291529" y="508658"/>
              </a:lnTo>
              <a:lnTo>
                <a:pt x="3291678" y="510444"/>
              </a:lnTo>
              <a:lnTo>
                <a:pt x="3264062" y="549980"/>
              </a:lnTo>
              <a:lnTo>
                <a:pt x="3230639" y="591423"/>
              </a:lnTo>
              <a:lnTo>
                <a:pt x="3201948" y="626094"/>
              </a:lnTo>
              <a:lnTo>
                <a:pt x="3168301" y="666277"/>
              </a:lnTo>
              <a:lnTo>
                <a:pt x="3130504" y="710660"/>
              </a:lnTo>
              <a:lnTo>
                <a:pt x="3088555" y="759243"/>
              </a:lnTo>
              <a:lnTo>
                <a:pt x="3066623" y="784603"/>
              </a:lnTo>
              <a:lnTo>
                <a:pt x="3044120" y="810619"/>
              </a:lnTo>
              <a:lnTo>
                <a:pt x="3020930" y="837394"/>
              </a:lnTo>
              <a:lnTo>
                <a:pt x="2997200" y="864787"/>
              </a:lnTo>
              <a:lnTo>
                <a:pt x="2973080" y="892658"/>
              </a:lnTo>
              <a:lnTo>
                <a:pt x="2948415" y="921165"/>
              </a:lnTo>
              <a:lnTo>
                <a:pt x="2923192" y="950318"/>
              </a:lnTo>
              <a:lnTo>
                <a:pt x="2897767" y="979752"/>
              </a:lnTo>
              <a:lnTo>
                <a:pt x="2872500" y="1009102"/>
              </a:lnTo>
              <a:lnTo>
                <a:pt x="2847288" y="1038476"/>
              </a:lnTo>
              <a:lnTo>
                <a:pt x="2822006" y="1068001"/>
              </a:lnTo>
              <a:lnTo>
                <a:pt x="2796979" y="1097337"/>
              </a:lnTo>
              <a:lnTo>
                <a:pt x="2748562" y="1154465"/>
              </a:lnTo>
              <a:lnTo>
                <a:pt x="2702036" y="1209860"/>
              </a:lnTo>
              <a:lnTo>
                <a:pt x="2659310" y="1262592"/>
              </a:lnTo>
              <a:lnTo>
                <a:pt x="2620382" y="1312659"/>
              </a:lnTo>
              <a:lnTo>
                <a:pt x="2585333" y="1358721"/>
              </a:lnTo>
              <a:lnTo>
                <a:pt x="2554163" y="1400778"/>
              </a:lnTo>
              <a:lnTo>
                <a:pt x="2527696" y="1438029"/>
              </a:lnTo>
              <a:lnTo>
                <a:pt x="2505932" y="1470474"/>
              </a:lnTo>
              <a:lnTo>
                <a:pt x="2480922" y="1510398"/>
              </a:lnTo>
              <a:lnTo>
                <a:pt x="2462516" y="1546608"/>
              </a:lnTo>
              <a:lnTo>
                <a:pt x="2460242" y="1556466"/>
              </a:lnTo>
              <a:lnTo>
                <a:pt x="2460509" y="1560650"/>
              </a:lnTo>
              <a:lnTo>
                <a:pt x="2494363" y="1538695"/>
              </a:lnTo>
              <a:lnTo>
                <a:pt x="2529799" y="1507209"/>
              </a:lnTo>
              <a:lnTo>
                <a:pt x="2544370" y="1493681"/>
              </a:lnTo>
              <a:lnTo>
                <a:pt x="2560488" y="1478860"/>
              </a:lnTo>
              <a:lnTo>
                <a:pt x="2578278" y="1462722"/>
              </a:lnTo>
              <a:lnTo>
                <a:pt x="2597652" y="1445210"/>
              </a:lnTo>
              <a:lnTo>
                <a:pt x="2618393" y="1426417"/>
              </a:lnTo>
              <a:lnTo>
                <a:pt x="2663507" y="1385145"/>
              </a:lnTo>
              <a:lnTo>
                <a:pt x="2713620" y="1338907"/>
              </a:lnTo>
              <a:lnTo>
                <a:pt x="2766316" y="1289408"/>
              </a:lnTo>
              <a:lnTo>
                <a:pt x="2821595" y="1236648"/>
              </a:lnTo>
              <a:lnTo>
                <a:pt x="2849806" y="1209036"/>
              </a:lnTo>
              <a:lnTo>
                <a:pt x="2878557" y="1180401"/>
              </a:lnTo>
              <a:lnTo>
                <a:pt x="2907869" y="1150806"/>
              </a:lnTo>
              <a:lnTo>
                <a:pt x="2937203" y="1120667"/>
              </a:lnTo>
              <a:lnTo>
                <a:pt x="2966023" y="1090403"/>
              </a:lnTo>
              <a:lnTo>
                <a:pt x="2994352" y="1059888"/>
              </a:lnTo>
              <a:lnTo>
                <a:pt x="3022420" y="1028976"/>
              </a:lnTo>
              <a:lnTo>
                <a:pt x="3050004" y="998063"/>
              </a:lnTo>
              <a:lnTo>
                <a:pt x="3076875" y="967544"/>
              </a:lnTo>
              <a:lnTo>
                <a:pt x="3103127" y="937325"/>
              </a:lnTo>
              <a:lnTo>
                <a:pt x="3128829" y="907264"/>
              </a:lnTo>
              <a:lnTo>
                <a:pt x="3153722" y="877675"/>
              </a:lnTo>
              <a:lnTo>
                <a:pt x="3200335" y="820728"/>
              </a:lnTo>
              <a:lnTo>
                <a:pt x="3242966" y="766484"/>
              </a:lnTo>
              <a:lnTo>
                <a:pt x="3280793" y="717101"/>
              </a:lnTo>
              <a:lnTo>
                <a:pt x="3313815" y="672578"/>
              </a:lnTo>
              <a:lnTo>
                <a:pt x="3341553" y="633461"/>
              </a:lnTo>
              <a:lnTo>
                <a:pt x="3364005" y="599749"/>
              </a:lnTo>
              <a:lnTo>
                <a:pt x="3389280" y="558495"/>
              </a:lnTo>
              <a:lnTo>
                <a:pt x="3410530" y="518948"/>
              </a:lnTo>
              <a:lnTo>
                <a:pt x="3411265" y="512190"/>
              </a:lnTo>
              <a:lnTo>
                <a:pt x="3408995" y="513040"/>
              </a:lnTo>
              <a:lnTo>
                <a:pt x="3402859" y="517556"/>
              </a:lnTo>
              <a:lnTo>
                <a:pt x="3397593" y="521771"/>
              </a:lnTo>
              <a:lnTo>
                <a:pt x="3391019" y="527502"/>
              </a:lnTo>
              <a:lnTo>
                <a:pt x="3383171" y="534538"/>
              </a:lnTo>
              <a:lnTo>
                <a:pt x="3374079" y="542669"/>
              </a:lnTo>
              <a:lnTo>
                <a:pt x="3363890" y="551872"/>
              </a:lnTo>
              <a:lnTo>
                <a:pt x="3352539" y="562248"/>
              </a:lnTo>
              <a:lnTo>
                <a:pt x="3339747" y="573771"/>
              </a:lnTo>
              <a:lnTo>
                <a:pt x="3308883" y="600294"/>
              </a:lnTo>
              <a:lnTo>
                <a:pt x="3271297" y="631441"/>
              </a:lnTo>
              <a:lnTo>
                <a:pt x="3228062" y="665859"/>
              </a:lnTo>
              <a:lnTo>
                <a:pt x="3179178" y="703550"/>
              </a:lnTo>
              <a:lnTo>
                <a:pt x="3124065" y="743355"/>
              </a:lnTo>
              <a:lnTo>
                <a:pt x="3062723" y="785275"/>
              </a:lnTo>
              <a:lnTo>
                <a:pt x="3030589" y="806516"/>
              </a:lnTo>
              <a:lnTo>
                <a:pt x="2997364" y="827930"/>
              </a:lnTo>
              <a:lnTo>
                <a:pt x="2962956" y="849607"/>
              </a:lnTo>
              <a:lnTo>
                <a:pt x="2927990" y="871320"/>
              </a:lnTo>
              <a:lnTo>
                <a:pt x="2893091" y="892843"/>
              </a:lnTo>
              <a:lnTo>
                <a:pt x="2858236" y="914262"/>
              </a:lnTo>
              <a:lnTo>
                <a:pt x="2823156" y="935649"/>
              </a:lnTo>
              <a:lnTo>
                <a:pt x="2788104" y="956755"/>
              </a:lnTo>
              <a:lnTo>
                <a:pt x="2753336" y="977329"/>
              </a:lnTo>
              <a:lnTo>
                <a:pt x="2718540" y="997438"/>
              </a:lnTo>
              <a:lnTo>
                <a:pt x="2683705" y="1017172"/>
              </a:lnTo>
              <a:lnTo>
                <a:pt x="2649543" y="1036311"/>
              </a:lnTo>
              <a:lnTo>
                <a:pt x="2585378" y="1072151"/>
              </a:lnTo>
              <a:lnTo>
                <a:pt x="2526045" y="1104958"/>
              </a:lnTo>
              <a:lnTo>
                <a:pt x="2472284" y="1134384"/>
              </a:lnTo>
              <a:lnTo>
                <a:pt x="2424095" y="1160430"/>
              </a:lnTo>
              <a:lnTo>
                <a:pt x="2384118" y="1181761"/>
              </a:lnTo>
              <a:lnTo>
                <a:pt x="2340061" y="1204366"/>
              </a:lnTo>
              <a:lnTo>
                <a:pt x="2317865" y="1212670"/>
              </a:lnTo>
              <a:lnTo>
                <a:pt x="2315371" y="1212315"/>
              </a:lnTo>
              <a:lnTo>
                <a:pt x="2313733" y="1210788"/>
              </a:lnTo>
              <a:lnTo>
                <a:pt x="2319162" y="1204941"/>
              </a:lnTo>
              <a:lnTo>
                <a:pt x="2351297" y="1177591"/>
              </a:lnTo>
              <a:lnTo>
                <a:pt x="2381794" y="1153889"/>
              </a:lnTo>
              <a:lnTo>
                <a:pt x="2422558" y="1123786"/>
              </a:lnTo>
              <a:lnTo>
                <a:pt x="2472114" y="1088056"/>
              </a:lnTo>
              <a:lnTo>
                <a:pt x="2529676" y="1047004"/>
              </a:lnTo>
              <a:lnTo>
                <a:pt x="2561207" y="1024722"/>
              </a:lnTo>
              <a:lnTo>
                <a:pt x="2594012" y="1001714"/>
              </a:lnTo>
              <a:lnTo>
                <a:pt x="2628255" y="977899"/>
              </a:lnTo>
              <a:lnTo>
                <a:pt x="2664066" y="953156"/>
              </a:lnTo>
              <a:lnTo>
                <a:pt x="2700980" y="927757"/>
              </a:lnTo>
              <a:lnTo>
                <a:pt x="2738531" y="901976"/>
              </a:lnTo>
              <a:lnTo>
                <a:pt x="2777075" y="875648"/>
              </a:lnTo>
              <a:lnTo>
                <a:pt x="2816698" y="848705"/>
              </a:lnTo>
              <a:lnTo>
                <a:pt x="2856537" y="821572"/>
              </a:lnTo>
              <a:lnTo>
                <a:pt x="2895725" y="794675"/>
              </a:lnTo>
              <a:lnTo>
                <a:pt x="2934387" y="767946"/>
              </a:lnTo>
              <a:lnTo>
                <a:pt x="2972866" y="741218"/>
              </a:lnTo>
              <a:lnTo>
                <a:pt x="3010623" y="714768"/>
              </a:lnTo>
              <a:lnTo>
                <a:pt x="3047120" y="688872"/>
              </a:lnTo>
              <a:lnTo>
                <a:pt x="3082409" y="663423"/>
              </a:lnTo>
              <a:lnTo>
                <a:pt x="3116712" y="638335"/>
              </a:lnTo>
              <a:lnTo>
                <a:pt x="3149745" y="613913"/>
              </a:lnTo>
              <a:lnTo>
                <a:pt x="3181225" y="590466"/>
              </a:lnTo>
              <a:lnTo>
                <a:pt x="3239769" y="546132"/>
              </a:lnTo>
              <a:lnTo>
                <a:pt x="3291990" y="506005"/>
              </a:lnTo>
              <a:lnTo>
                <a:pt x="3315436" y="487981"/>
              </a:lnTo>
              <a:lnTo>
                <a:pt x="3357216" y="455629"/>
              </a:lnTo>
              <a:lnTo>
                <a:pt x="3391998" y="428006"/>
              </a:lnTo>
              <a:lnTo>
                <a:pt x="3419782" y="405114"/>
              </a:lnTo>
              <a:lnTo>
                <a:pt x="3431179" y="395751"/>
              </a:lnTo>
              <a:lnTo>
                <a:pt x="3440896" y="387824"/>
              </a:lnTo>
              <a:lnTo>
                <a:pt x="3448920" y="381270"/>
              </a:lnTo>
              <a:lnTo>
                <a:pt x="3455338" y="376135"/>
              </a:lnTo>
              <a:lnTo>
                <a:pt x="3460241" y="372463"/>
              </a:lnTo>
              <a:lnTo>
                <a:pt x="3465806" y="368562"/>
              </a:lnTo>
              <a:lnTo>
                <a:pt x="3466661" y="368558"/>
              </a:lnTo>
              <a:lnTo>
                <a:pt x="3464569" y="372343"/>
              </a:lnTo>
              <a:lnTo>
                <a:pt x="3440224" y="404195"/>
              </a:lnTo>
              <a:lnTo>
                <a:pt x="3410111" y="438545"/>
              </a:lnTo>
              <a:lnTo>
                <a:pt x="3383527" y="466497"/>
              </a:lnTo>
              <a:lnTo>
                <a:pt x="3352363" y="497785"/>
              </a:lnTo>
              <a:lnTo>
                <a:pt x="3317120" y="531634"/>
              </a:lnTo>
              <a:lnTo>
                <a:pt x="3278138" y="567846"/>
              </a:lnTo>
              <a:lnTo>
                <a:pt x="3235644" y="606382"/>
              </a:lnTo>
              <a:lnTo>
                <a:pt x="3190465" y="645988"/>
              </a:lnTo>
              <a:lnTo>
                <a:pt x="3143262" y="685278"/>
              </a:lnTo>
              <a:lnTo>
                <a:pt x="3094764" y="724606"/>
              </a:lnTo>
              <a:lnTo>
                <a:pt x="3045533" y="764175"/>
              </a:lnTo>
              <a:lnTo>
                <a:pt x="2996732" y="803058"/>
              </a:lnTo>
              <a:lnTo>
                <a:pt x="2949587" y="840495"/>
              </a:lnTo>
              <a:lnTo>
                <a:pt x="2904474" y="876190"/>
              </a:lnTo>
              <a:lnTo>
                <a:pt x="2861829" y="909842"/>
              </a:lnTo>
              <a:lnTo>
                <a:pt x="2841653" y="925742"/>
              </a:lnTo>
              <a:lnTo>
                <a:pt x="2822683" y="940710"/>
              </a:lnTo>
              <a:lnTo>
                <a:pt x="2788322" y="967863"/>
              </a:lnTo>
              <a:lnTo>
                <a:pt x="2758409" y="991576"/>
              </a:lnTo>
              <a:lnTo>
                <a:pt x="2721344" y="1021159"/>
              </a:lnTo>
              <a:lnTo>
                <a:pt x="2693255" y="1045399"/>
              </a:lnTo>
              <a:lnTo>
                <a:pt x="2696654" y="1041987"/>
              </a:lnTo>
              <a:lnTo>
                <a:pt x="2706387" y="1035304"/>
              </a:lnTo>
              <a:lnTo>
                <a:pt x="2714727" y="1029633"/>
              </a:lnTo>
              <a:lnTo>
                <a:pt x="2725181" y="1022601"/>
              </a:lnTo>
              <a:lnTo>
                <a:pt x="2737796" y="1014140"/>
              </a:lnTo>
              <a:lnTo>
                <a:pt x="2752622" y="1004180"/>
              </a:lnTo>
              <a:lnTo>
                <a:pt x="2769681" y="992634"/>
              </a:lnTo>
              <a:lnTo>
                <a:pt x="2788943" y="979561"/>
              </a:lnTo>
              <a:lnTo>
                <a:pt x="2810381" y="965116"/>
              </a:lnTo>
              <a:lnTo>
                <a:pt x="2859879" y="932438"/>
              </a:lnTo>
              <a:lnTo>
                <a:pt x="2918177" y="894599"/>
              </a:lnTo>
              <a:lnTo>
                <a:pt x="2983326" y="853347"/>
              </a:lnTo>
              <a:lnTo>
                <a:pt x="3018724" y="831326"/>
              </a:lnTo>
              <a:lnTo>
                <a:pt x="3055327" y="808681"/>
              </a:lnTo>
              <a:lnTo>
                <a:pt x="3092435" y="785756"/>
              </a:lnTo>
              <a:lnTo>
                <a:pt x="3130269" y="762422"/>
              </a:lnTo>
              <a:lnTo>
                <a:pt x="3169064" y="738568"/>
              </a:lnTo>
              <a:lnTo>
                <a:pt x="3208151" y="714569"/>
              </a:lnTo>
              <a:lnTo>
                <a:pt x="3246857" y="690797"/>
              </a:lnTo>
              <a:lnTo>
                <a:pt x="3285303" y="667190"/>
              </a:lnTo>
              <a:lnTo>
                <a:pt x="3323748" y="643602"/>
              </a:lnTo>
              <a:lnTo>
                <a:pt x="3361724" y="620284"/>
              </a:lnTo>
              <a:lnTo>
                <a:pt x="3398763" y="597484"/>
              </a:lnTo>
              <a:lnTo>
                <a:pt x="3435045" y="575096"/>
              </a:lnTo>
              <a:lnTo>
                <a:pt x="3470717" y="553044"/>
              </a:lnTo>
              <a:lnTo>
                <a:pt x="3505266" y="531625"/>
              </a:lnTo>
              <a:lnTo>
                <a:pt x="3538176" y="511137"/>
              </a:lnTo>
              <a:lnTo>
                <a:pt x="3599380" y="472693"/>
              </a:lnTo>
              <a:lnTo>
                <a:pt x="3654126" y="438093"/>
              </a:lnTo>
              <a:lnTo>
                <a:pt x="3701575" y="407866"/>
              </a:lnTo>
              <a:lnTo>
                <a:pt x="3722637" y="394481"/>
              </a:lnTo>
              <a:lnTo>
                <a:pt x="3759170" y="371907"/>
              </a:lnTo>
              <a:lnTo>
                <a:pt x="3800603" y="348316"/>
              </a:lnTo>
              <a:lnTo>
                <a:pt x="3842970" y="336991"/>
              </a:lnTo>
              <a:lnTo>
                <a:pt x="3847942" y="340085"/>
              </a:lnTo>
              <a:lnTo>
                <a:pt x="3849388" y="347454"/>
              </a:lnTo>
              <a:lnTo>
                <a:pt x="3849686" y="353825"/>
              </a:lnTo>
              <a:lnTo>
                <a:pt x="3848608" y="361741"/>
              </a:lnTo>
              <a:lnTo>
                <a:pt x="3835055" y="405661"/>
              </a:lnTo>
              <a:lnTo>
                <a:pt x="3816951" y="449876"/>
              </a:lnTo>
              <a:lnTo>
                <a:pt x="3793493" y="502197"/>
              </a:lnTo>
              <a:lnTo>
                <a:pt x="3775283" y="541072"/>
              </a:lnTo>
              <a:lnTo>
                <a:pt x="3755360" y="582352"/>
              </a:lnTo>
              <a:lnTo>
                <a:pt x="3733939" y="625206"/>
              </a:lnTo>
              <a:lnTo>
                <a:pt x="3722788" y="647244"/>
              </a:lnTo>
              <a:lnTo>
                <a:pt x="3711579" y="669554"/>
              </a:lnTo>
              <a:lnTo>
                <a:pt x="3700214" y="692241"/>
              </a:lnTo>
              <a:lnTo>
                <a:pt x="3688648" y="715314"/>
              </a:lnTo>
              <a:lnTo>
                <a:pt x="3677135" y="738534"/>
              </a:lnTo>
              <a:lnTo>
                <a:pt x="3654993" y="784779"/>
              </a:lnTo>
              <a:lnTo>
                <a:pt x="3633787" y="830978"/>
              </a:lnTo>
              <a:lnTo>
                <a:pt x="3614447" y="875656"/>
              </a:lnTo>
              <a:lnTo>
                <a:pt x="3596973" y="918814"/>
              </a:lnTo>
              <a:lnTo>
                <a:pt x="3581955" y="959164"/>
              </a:lnTo>
              <a:lnTo>
                <a:pt x="3569393" y="996704"/>
              </a:lnTo>
              <a:lnTo>
                <a:pt x="3554785" y="1045753"/>
              </a:lnTo>
              <a:lnTo>
                <a:pt x="3545175" y="1086442"/>
              </a:lnTo>
              <a:lnTo>
                <a:pt x="3540308" y="1127971"/>
              </a:lnTo>
              <a:lnTo>
                <a:pt x="3540529" y="1135940"/>
              </a:lnTo>
              <a:lnTo>
                <a:pt x="3564936" y="1167156"/>
              </a:lnTo>
              <a:lnTo>
                <a:pt x="3586127" y="1169868"/>
              </a:lnTo>
              <a:lnTo>
                <a:pt x="3600023" y="1169452"/>
              </a:lnTo>
              <a:lnTo>
                <a:pt x="3660124" y="1159030"/>
              </a:lnTo>
              <a:lnTo>
                <a:pt x="3716558" y="1144461"/>
              </a:lnTo>
              <a:lnTo>
                <a:pt x="3789088" y="1123255"/>
              </a:lnTo>
              <a:lnTo>
                <a:pt x="3830909" y="1110292"/>
              </a:lnTo>
              <a:lnTo>
                <a:pt x="3876200" y="1095857"/>
              </a:lnTo>
              <a:lnTo>
                <a:pt x="3925275" y="1079846"/>
              </a:lnTo>
              <a:lnTo>
                <a:pt x="3978109" y="1062262"/>
              </a:lnTo>
              <a:lnTo>
                <a:pt x="4034011" y="1043331"/>
              </a:lnTo>
              <a:lnTo>
                <a:pt x="4092292" y="1023284"/>
              </a:lnTo>
              <a:lnTo>
                <a:pt x="4140672" y="1006440"/>
              </a:lnTo>
              <a:lnTo>
                <a:pt x="4190875" y="988794"/>
              </a:lnTo>
              <a:lnTo>
                <a:pt x="4242671" y="970403"/>
              </a:lnTo>
              <a:lnTo>
                <a:pt x="4295829" y="951327"/>
              </a:lnTo>
              <a:lnTo>
                <a:pt x="4350119" y="931624"/>
              </a:lnTo>
              <a:lnTo>
                <a:pt x="4396484" y="914701"/>
              </a:lnTo>
              <a:lnTo>
                <a:pt x="4444065" y="897282"/>
              </a:lnTo>
              <a:lnTo>
                <a:pt x="4492538" y="879401"/>
              </a:lnTo>
              <a:lnTo>
                <a:pt x="4541582" y="861091"/>
              </a:lnTo>
              <a:lnTo>
                <a:pt x="4590874" y="842387"/>
              </a:lnTo>
              <a:lnTo>
                <a:pt x="4640090" y="823321"/>
              </a:lnTo>
              <a:lnTo>
                <a:pt x="4689681" y="803697"/>
              </a:lnTo>
              <a:lnTo>
                <a:pt x="4739995" y="783448"/>
              </a:lnTo>
              <a:lnTo>
                <a:pt x="4790557" y="762804"/>
              </a:lnTo>
              <a:lnTo>
                <a:pt x="4840891" y="741996"/>
              </a:lnTo>
              <a:lnTo>
                <a:pt x="4890524" y="721253"/>
              </a:lnTo>
              <a:lnTo>
                <a:pt x="4938978" y="700808"/>
              </a:lnTo>
              <a:lnTo>
                <a:pt x="4986577" y="680492"/>
              </a:lnTo>
              <a:lnTo>
                <a:pt x="5033764" y="660087"/>
              </a:lnTo>
              <a:lnTo>
                <a:pt x="5080249" y="639748"/>
              </a:lnTo>
              <a:lnTo>
                <a:pt x="5125741" y="619630"/>
              </a:lnTo>
              <a:lnTo>
                <a:pt x="5169950" y="599888"/>
              </a:lnTo>
              <a:lnTo>
                <a:pt x="5212585" y="580676"/>
              </a:lnTo>
              <a:lnTo>
                <a:pt x="5261936" y="558219"/>
              </a:lnTo>
              <a:lnTo>
                <a:pt x="5309610" y="536250"/>
              </a:lnTo>
              <a:lnTo>
                <a:pt x="5355351" y="514848"/>
              </a:lnTo>
              <a:lnTo>
                <a:pt x="5398901" y="494091"/>
              </a:lnTo>
              <a:lnTo>
                <a:pt x="5440005" y="474057"/>
              </a:lnTo>
              <a:lnTo>
                <a:pt x="5487945" y="449901"/>
              </a:lnTo>
              <a:lnTo>
                <a:pt x="5532312" y="426712"/>
              </a:lnTo>
              <a:lnTo>
                <a:pt x="5573158" y="404736"/>
              </a:lnTo>
              <a:lnTo>
                <a:pt x="5610531" y="384219"/>
              </a:lnTo>
              <a:lnTo>
                <a:pt x="5644321" y="365193"/>
              </a:lnTo>
              <a:lnTo>
                <a:pt x="5701434" y="331272"/>
              </a:lnTo>
              <a:lnTo>
                <a:pt x="5746086" y="302893"/>
              </a:lnTo>
              <a:lnTo>
                <a:pt x="5778276" y="280057"/>
              </a:lnTo>
              <a:lnTo>
                <a:pt x="5801813" y="255395"/>
              </a:lnTo>
              <a:lnTo>
                <a:pt x="5799321" y="252995"/>
              </a:lnTo>
              <a:lnTo>
                <a:pt x="5793695" y="251843"/>
              </a:lnTo>
              <a:lnTo>
                <a:pt x="5784859" y="252059"/>
              </a:lnTo>
              <a:lnTo>
                <a:pt x="5736283" y="260367"/>
              </a:lnTo>
              <a:lnTo>
                <a:pt x="5685047" y="272240"/>
              </a:lnTo>
              <a:lnTo>
                <a:pt x="5653557" y="279499"/>
              </a:lnTo>
              <a:lnTo>
                <a:pt x="5617981" y="287628"/>
              </a:lnTo>
              <a:lnTo>
                <a:pt x="5578423" y="296722"/>
              </a:lnTo>
              <a:lnTo>
                <a:pt x="5535085" y="306531"/>
              </a:lnTo>
              <a:lnTo>
                <a:pt x="5488171" y="316808"/>
              </a:lnTo>
              <a:lnTo>
                <a:pt x="5437430" y="327648"/>
              </a:lnTo>
              <a:lnTo>
                <a:pt x="5382856" y="339128"/>
              </a:lnTo>
              <a:lnTo>
                <a:pt x="5325014" y="350978"/>
              </a:lnTo>
              <a:lnTo>
                <a:pt x="5264472" y="362929"/>
              </a:lnTo>
              <a:lnTo>
                <a:pt x="5213884" y="372547"/>
              </a:lnTo>
              <a:lnTo>
                <a:pt x="5161147" y="382315"/>
              </a:lnTo>
              <a:lnTo>
                <a:pt x="5106710" y="392191"/>
              </a:lnTo>
              <a:lnTo>
                <a:pt x="5051024" y="402131"/>
              </a:lnTo>
              <a:lnTo>
                <a:pt x="4994540" y="412094"/>
              </a:lnTo>
              <a:lnTo>
                <a:pt x="4946567" y="420480"/>
              </a:lnTo>
              <a:lnTo>
                <a:pt x="4897456" y="428985"/>
              </a:lnTo>
              <a:lnTo>
                <a:pt x="4847582" y="437524"/>
              </a:lnTo>
              <a:lnTo>
                <a:pt x="4797320" y="446016"/>
              </a:lnTo>
              <a:lnTo>
                <a:pt x="4747045" y="454377"/>
              </a:lnTo>
              <a:lnTo>
                <a:pt x="4697133" y="462524"/>
              </a:lnTo>
              <a:lnTo>
                <a:pt x="4647270" y="470479"/>
              </a:lnTo>
              <a:lnTo>
                <a:pt x="4597093" y="478311"/>
              </a:lnTo>
              <a:lnTo>
                <a:pt x="4546904" y="486012"/>
              </a:lnTo>
              <a:lnTo>
                <a:pt x="4497003" y="493575"/>
              </a:lnTo>
              <a:lnTo>
                <a:pt x="4447691" y="500991"/>
              </a:lnTo>
              <a:lnTo>
                <a:pt x="4399271" y="508254"/>
              </a:lnTo>
              <a:lnTo>
                <a:pt x="4351477" y="515375"/>
              </a:lnTo>
              <a:lnTo>
                <a:pt x="4304014" y="522364"/>
              </a:lnTo>
              <a:lnTo>
                <a:pt x="4257141" y="529208"/>
              </a:lnTo>
              <a:lnTo>
                <a:pt x="4211116" y="535890"/>
              </a:lnTo>
              <a:lnTo>
                <a:pt x="4166197" y="542399"/>
              </a:lnTo>
              <a:lnTo>
                <a:pt x="4122643" y="548719"/>
              </a:lnTo>
              <a:lnTo>
                <a:pt x="4071873" y="556025"/>
              </a:lnTo>
              <a:lnTo>
                <a:pt x="4022474" y="563045"/>
              </a:lnTo>
              <a:lnTo>
                <a:pt x="3974778" y="569831"/>
              </a:lnTo>
              <a:lnTo>
                <a:pt x="3929119" y="576437"/>
              </a:lnTo>
              <a:lnTo>
                <a:pt x="3885830" y="582914"/>
              </a:lnTo>
              <a:lnTo>
                <a:pt x="3834952" y="590895"/>
              </a:lnTo>
              <a:lnTo>
                <a:pt x="3787387" y="598670"/>
              </a:lnTo>
              <a:lnTo>
                <a:pt x="3743261" y="606092"/>
              </a:lnTo>
              <a:lnTo>
                <a:pt x="3702698" y="613019"/>
              </a:lnTo>
              <a:lnTo>
                <a:pt x="3632679" y="625305"/>
              </a:lnTo>
              <a:lnTo>
                <a:pt x="3575921" y="635963"/>
              </a:lnTo>
              <a:lnTo>
                <a:pt x="3531915" y="645134"/>
              </a:lnTo>
              <a:lnTo>
                <a:pt x="3485868" y="656659"/>
              </a:lnTo>
              <a:lnTo>
                <a:pt x="3446222" y="671958"/>
              </a:lnTo>
              <a:lnTo>
                <a:pt x="3444703" y="674485"/>
              </a:lnTo>
              <a:lnTo>
                <a:pt x="3443184" y="677012"/>
              </a:lnTo>
              <a:lnTo>
                <a:pt x="3483979" y="685550"/>
              </a:lnTo>
              <a:lnTo>
                <a:pt x="3536537" y="687796"/>
              </a:lnTo>
              <a:lnTo>
                <a:pt x="3589315" y="688409"/>
              </a:lnTo>
              <a:lnTo>
                <a:pt x="3621302" y="688425"/>
              </a:lnTo>
              <a:lnTo>
                <a:pt x="3657104" y="688252"/>
              </a:lnTo>
              <a:lnTo>
                <a:pt x="3696915" y="687886"/>
              </a:lnTo>
              <a:lnTo>
                <a:pt x="3740705" y="687431"/>
              </a:lnTo>
              <a:lnTo>
                <a:pt x="3788396" y="686853"/>
              </a:lnTo>
              <a:lnTo>
                <a:pt x="3840116" y="685948"/>
              </a:lnTo>
              <a:lnTo>
                <a:pt x="3895990" y="684509"/>
              </a:lnTo>
              <a:lnTo>
                <a:pt x="3943934" y="682930"/>
              </a:lnTo>
              <a:lnTo>
                <a:pt x="3994746" y="681043"/>
              </a:lnTo>
              <a:lnTo>
                <a:pt x="4048071" y="678864"/>
              </a:lnTo>
              <a:lnTo>
                <a:pt x="4103556" y="676410"/>
              </a:lnTo>
              <a:lnTo>
                <a:pt x="4160850" y="673698"/>
              </a:lnTo>
              <a:lnTo>
                <a:pt x="4210295" y="671242"/>
              </a:lnTo>
              <a:lnTo>
                <a:pt x="4261562" y="668601"/>
              </a:lnTo>
              <a:lnTo>
                <a:pt x="4314247" y="665772"/>
              </a:lnTo>
              <a:lnTo>
                <a:pt x="4367949" y="662755"/>
              </a:lnTo>
              <a:lnTo>
                <a:pt x="4422264" y="659547"/>
              </a:lnTo>
              <a:lnTo>
                <a:pt x="4476788" y="656147"/>
              </a:lnTo>
              <a:lnTo>
                <a:pt x="4524040" y="653041"/>
              </a:lnTo>
              <a:lnTo>
                <a:pt x="4572163" y="649745"/>
              </a:lnTo>
              <a:lnTo>
                <a:pt x="4620842" y="646295"/>
              </a:lnTo>
              <a:lnTo>
                <a:pt x="4669761" y="642731"/>
              </a:lnTo>
              <a:lnTo>
                <a:pt x="4718604" y="639090"/>
              </a:lnTo>
              <a:lnTo>
                <a:pt x="4767056" y="635410"/>
              </a:lnTo>
              <a:lnTo>
                <a:pt x="4814802" y="631730"/>
              </a:lnTo>
              <a:lnTo>
                <a:pt x="4870125" y="627385"/>
              </a:lnTo>
              <a:lnTo>
                <a:pt x="4925480" y="622934"/>
              </a:lnTo>
              <a:lnTo>
                <a:pt x="4980445" y="618413"/>
              </a:lnTo>
              <a:lnTo>
                <a:pt x="5034601" y="613858"/>
              </a:lnTo>
              <a:lnTo>
                <a:pt x="5087528" y="609305"/>
              </a:lnTo>
              <a:lnTo>
                <a:pt x="5138806" y="604790"/>
              </a:lnTo>
              <a:lnTo>
                <a:pt x="5188742" y="600275"/>
              </a:lnTo>
              <a:lnTo>
                <a:pt x="5237734" y="595721"/>
              </a:lnTo>
              <a:lnTo>
                <a:pt x="5285497" y="591169"/>
              </a:lnTo>
              <a:lnTo>
                <a:pt x="5331745" y="586660"/>
              </a:lnTo>
              <a:lnTo>
                <a:pt x="5376192" y="582233"/>
              </a:lnTo>
              <a:lnTo>
                <a:pt x="5418553" y="577930"/>
              </a:lnTo>
              <a:lnTo>
                <a:pt x="5478420" y="571659"/>
              </a:lnTo>
              <a:lnTo>
                <a:pt x="5534275" y="565560"/>
              </a:lnTo>
              <a:lnTo>
                <a:pt x="5586000" y="559677"/>
              </a:lnTo>
              <a:lnTo>
                <a:pt x="5633478" y="554055"/>
              </a:lnTo>
              <a:lnTo>
                <a:pt x="5676792" y="548667"/>
              </a:lnTo>
              <a:lnTo>
                <a:pt x="5715967" y="543502"/>
              </a:lnTo>
              <a:lnTo>
                <a:pt x="5781075" y="534111"/>
              </a:lnTo>
              <a:lnTo>
                <a:pt x="5828265" y="525957"/>
              </a:lnTo>
              <a:lnTo>
                <a:pt x="5866210" y="515272"/>
              </a:lnTo>
              <a:lnTo>
                <a:pt x="5863709" y="513973"/>
              </a:lnTo>
              <a:lnTo>
                <a:pt x="5856512" y="513334"/>
              </a:lnTo>
              <a:lnTo>
                <a:pt x="5844619" y="513349"/>
              </a:lnTo>
              <a:lnTo>
                <a:pt x="5780713" y="517256"/>
              </a:lnTo>
              <a:lnTo>
                <a:pt x="5714879" y="523485"/>
              </a:lnTo>
              <a:lnTo>
                <a:pt x="5674851" y="527547"/>
              </a:lnTo>
              <a:lnTo>
                <a:pt x="5629875" y="532047"/>
              </a:lnTo>
              <a:lnTo>
                <a:pt x="5590225" y="535958"/>
              </a:lnTo>
              <a:lnTo>
                <a:pt x="5547358" y="540201"/>
              </a:lnTo>
              <a:lnTo>
                <a:pt x="5501400" y="544746"/>
              </a:lnTo>
              <a:lnTo>
                <a:pt x="5452475" y="549561"/>
              </a:lnTo>
              <a:lnTo>
                <a:pt x="5400706" y="554618"/>
              </a:lnTo>
              <a:lnTo>
                <a:pt x="5355152" y="559035"/>
              </a:lnTo>
              <a:lnTo>
                <a:pt x="5307266" y="563658"/>
              </a:lnTo>
              <a:lnTo>
                <a:pt x="5257350" y="568462"/>
              </a:lnTo>
              <a:lnTo>
                <a:pt x="5205700" y="573424"/>
              </a:lnTo>
              <a:lnTo>
                <a:pt x="5152615" y="578519"/>
              </a:lnTo>
              <a:lnTo>
                <a:pt x="5098396" y="583723"/>
              </a:lnTo>
              <a:lnTo>
                <a:pt x="5050809" y="588244"/>
              </a:lnTo>
              <a:lnTo>
                <a:pt x="5001921" y="592827"/>
              </a:lnTo>
              <a:lnTo>
                <a:pt x="4951918" y="597498"/>
              </a:lnTo>
              <a:lnTo>
                <a:pt x="4900985" y="602286"/>
              </a:lnTo>
              <a:lnTo>
                <a:pt x="4849307" y="607219"/>
              </a:lnTo>
              <a:lnTo>
                <a:pt x="4797068" y="612323"/>
              </a:lnTo>
              <a:lnTo>
                <a:pt x="4744454" y="617627"/>
              </a:lnTo>
              <a:lnTo>
                <a:pt x="4697894" y="622424"/>
              </a:lnTo>
              <a:lnTo>
                <a:pt x="4650609" y="627344"/>
              </a:lnTo>
              <a:lnTo>
                <a:pt x="4602748" y="632387"/>
              </a:lnTo>
              <a:lnTo>
                <a:pt x="4554461" y="637555"/>
              </a:lnTo>
              <a:lnTo>
                <a:pt x="4505897" y="642850"/>
              </a:lnTo>
              <a:lnTo>
                <a:pt x="4457205" y="648273"/>
              </a:lnTo>
              <a:lnTo>
                <a:pt x="4408534" y="653824"/>
              </a:lnTo>
              <a:lnTo>
                <a:pt x="4360034" y="659507"/>
              </a:lnTo>
              <a:lnTo>
                <a:pt x="4311338" y="665372"/>
              </a:lnTo>
              <a:lnTo>
                <a:pt x="4262146" y="671441"/>
              </a:lnTo>
              <a:lnTo>
                <a:pt x="4212710" y="677669"/>
              </a:lnTo>
              <a:lnTo>
                <a:pt x="4163278" y="684010"/>
              </a:lnTo>
              <a:lnTo>
                <a:pt x="4114103" y="690418"/>
              </a:lnTo>
              <a:lnTo>
                <a:pt x="4065435" y="696849"/>
              </a:lnTo>
              <a:lnTo>
                <a:pt x="4017523" y="703257"/>
              </a:lnTo>
              <a:lnTo>
                <a:pt x="3970620" y="709596"/>
              </a:lnTo>
              <a:lnTo>
                <a:pt x="3917856" y="716808"/>
              </a:lnTo>
              <a:lnTo>
                <a:pt x="3865576" y="724057"/>
              </a:lnTo>
              <a:lnTo>
                <a:pt x="3813995" y="731322"/>
              </a:lnTo>
              <a:lnTo>
                <a:pt x="3763328" y="738583"/>
              </a:lnTo>
              <a:lnTo>
                <a:pt x="3713792" y="745819"/>
              </a:lnTo>
              <a:lnTo>
                <a:pt x="3665603" y="753010"/>
              </a:lnTo>
              <a:lnTo>
                <a:pt x="3618976" y="760135"/>
              </a:lnTo>
              <a:lnTo>
                <a:pt x="3566270" y="768440"/>
              </a:lnTo>
              <a:lnTo>
                <a:pt x="3515096" y="776773"/>
              </a:lnTo>
              <a:lnTo>
                <a:pt x="3465656" y="785053"/>
              </a:lnTo>
              <a:lnTo>
                <a:pt x="3418156" y="793201"/>
              </a:lnTo>
              <a:lnTo>
                <a:pt x="3372798" y="801139"/>
              </a:lnTo>
              <a:lnTo>
                <a:pt x="3329788" y="808786"/>
              </a:lnTo>
              <a:lnTo>
                <a:pt x="3269643" y="819799"/>
              </a:lnTo>
              <a:lnTo>
                <a:pt x="3214384" y="830362"/>
              </a:lnTo>
              <a:lnTo>
                <a:pt x="3163818" y="840401"/>
              </a:lnTo>
              <a:lnTo>
                <a:pt x="3117749" y="849844"/>
              </a:lnTo>
              <a:lnTo>
                <a:pt x="3076295" y="858698"/>
              </a:lnTo>
              <a:lnTo>
                <a:pt x="3007075" y="874688"/>
              </a:lnTo>
              <a:lnTo>
                <a:pt x="2954396" y="888166"/>
              </a:lnTo>
              <a:lnTo>
                <a:pt x="2906291" y="903645"/>
              </a:lnTo>
              <a:lnTo>
                <a:pt x="2894717" y="910920"/>
              </a:lnTo>
              <a:lnTo>
                <a:pt x="2894942" y="913511"/>
              </a:lnTo>
              <a:lnTo>
                <a:pt x="2898943" y="915200"/>
              </a:lnTo>
              <a:lnTo>
                <a:pt x="2906636" y="915908"/>
              </a:lnTo>
              <a:lnTo>
                <a:pt x="2918127" y="915728"/>
              </a:lnTo>
              <a:lnTo>
                <a:pt x="2976372" y="910859"/>
              </a:lnTo>
              <a:lnTo>
                <a:pt x="3035180" y="904178"/>
              </a:lnTo>
              <a:lnTo>
                <a:pt x="3110088" y="894577"/>
              </a:lnTo>
              <a:lnTo>
                <a:pt x="3153720" y="888647"/>
              </a:lnTo>
              <a:lnTo>
                <a:pt x="3201096" y="882058"/>
              </a:lnTo>
              <a:lnTo>
                <a:pt x="3251862" y="874896"/>
              </a:lnTo>
              <a:lnTo>
                <a:pt x="3295072" y="868729"/>
              </a:lnTo>
              <a:lnTo>
                <a:pt x="3340740" y="862135"/>
              </a:lnTo>
              <a:lnTo>
                <a:pt x="3388547" y="855178"/>
              </a:lnTo>
              <a:lnTo>
                <a:pt x="3438173" y="847917"/>
              </a:lnTo>
              <a:lnTo>
                <a:pt x="3489298" y="840416"/>
              </a:lnTo>
              <a:lnTo>
                <a:pt x="3533306" y="833919"/>
              </a:lnTo>
              <a:lnTo>
                <a:pt x="3578832" y="827145"/>
              </a:lnTo>
              <a:lnTo>
                <a:pt x="3625547" y="820177"/>
              </a:lnTo>
              <a:lnTo>
                <a:pt x="3673122" y="813091"/>
              </a:lnTo>
              <a:lnTo>
                <a:pt x="3721230" y="805969"/>
              </a:lnTo>
              <a:lnTo>
                <a:pt x="3769540" y="798890"/>
              </a:lnTo>
              <a:lnTo>
                <a:pt x="3818377" y="791805"/>
              </a:lnTo>
              <a:lnTo>
                <a:pt x="3868068" y="784640"/>
              </a:lnTo>
              <a:lnTo>
                <a:pt x="3918290" y="777438"/>
              </a:lnTo>
              <a:lnTo>
                <a:pt x="3968722" y="770242"/>
              </a:lnTo>
              <a:lnTo>
                <a:pt x="4019042" y="763095"/>
              </a:lnTo>
              <a:lnTo>
                <a:pt x="4068928" y="756040"/>
              </a:lnTo>
              <a:lnTo>
                <a:pt x="4118727" y="749037"/>
              </a:lnTo>
              <a:lnTo>
                <a:pt x="4168769" y="742042"/>
              </a:lnTo>
              <a:lnTo>
                <a:pt x="4218698" y="735097"/>
              </a:lnTo>
              <a:lnTo>
                <a:pt x="4268160" y="728240"/>
              </a:lnTo>
              <a:lnTo>
                <a:pt x="4316803" y="721511"/>
              </a:lnTo>
              <a:lnTo>
                <a:pt x="4364270" y="714951"/>
              </a:lnTo>
              <a:lnTo>
                <a:pt x="4420125" y="707253"/>
              </a:lnTo>
              <a:lnTo>
                <a:pt x="4475129" y="699703"/>
              </a:lnTo>
              <a:lnTo>
                <a:pt x="4528786" y="692356"/>
              </a:lnTo>
              <a:lnTo>
                <a:pt x="4580600" y="685267"/>
              </a:lnTo>
              <a:lnTo>
                <a:pt x="4630073" y="678490"/>
              </a:lnTo>
              <a:lnTo>
                <a:pt x="4688870" y="670414"/>
              </a:lnTo>
              <a:lnTo>
                <a:pt x="4744656" y="662744"/>
              </a:lnTo>
              <a:lnTo>
                <a:pt x="4797044" y="655555"/>
              </a:lnTo>
              <a:lnTo>
                <a:pt x="4845644" y="648920"/>
              </a:lnTo>
              <a:lnTo>
                <a:pt x="4890523" y="642790"/>
              </a:lnTo>
              <a:lnTo>
                <a:pt x="4931831" y="637149"/>
              </a:lnTo>
              <a:lnTo>
                <a:pt x="5002694" y="627822"/>
              </a:lnTo>
              <a:lnTo>
                <a:pt x="5057296" y="621255"/>
              </a:lnTo>
              <a:lnTo>
                <a:pt x="5095682" y="617787"/>
              </a:lnTo>
              <a:lnTo>
                <a:pt x="5108463" y="617483"/>
              </a:lnTo>
              <a:lnTo>
                <a:pt x="5117003" y="618077"/>
              </a:lnTo>
              <a:lnTo>
                <a:pt x="5121713" y="619447"/>
              </a:lnTo>
              <a:lnTo>
                <a:pt x="5123001" y="621470"/>
              </a:lnTo>
              <a:lnTo>
                <a:pt x="5120872" y="624161"/>
              </a:lnTo>
              <a:lnTo>
                <a:pt x="5077459" y="641483"/>
              </a:lnTo>
              <a:lnTo>
                <a:pt x="5035426" y="653741"/>
              </a:lnTo>
              <a:lnTo>
                <a:pt x="4980542" y="667738"/>
              </a:lnTo>
              <a:lnTo>
                <a:pt x="4912805" y="683475"/>
              </a:lnTo>
              <a:lnTo>
                <a:pt x="4873961" y="691936"/>
              </a:lnTo>
              <a:lnTo>
                <a:pt x="4831498" y="700883"/>
              </a:lnTo>
              <a:lnTo>
                <a:pt x="4785536" y="710298"/>
              </a:lnTo>
              <a:lnTo>
                <a:pt x="4736620" y="719961"/>
              </a:lnTo>
              <a:lnTo>
                <a:pt x="4685293" y="729651"/>
              </a:lnTo>
              <a:lnTo>
                <a:pt x="4642352" y="737377"/>
              </a:lnTo>
              <a:lnTo>
                <a:pt x="4597520" y="745158"/>
              </a:lnTo>
              <a:lnTo>
                <a:pt x="4551146" y="753007"/>
              </a:lnTo>
              <a:lnTo>
                <a:pt x="4503576" y="760941"/>
              </a:lnTo>
              <a:lnTo>
                <a:pt x="4455158" y="768973"/>
              </a:lnTo>
              <a:lnTo>
                <a:pt x="4405521" y="777157"/>
              </a:lnTo>
              <a:lnTo>
                <a:pt x="4354433" y="785482"/>
              </a:lnTo>
              <a:lnTo>
                <a:pt x="4302452" y="793870"/>
              </a:lnTo>
              <a:lnTo>
                <a:pt x="4250132" y="802241"/>
              </a:lnTo>
              <a:lnTo>
                <a:pt x="4198030" y="810514"/>
              </a:lnTo>
              <a:lnTo>
                <a:pt x="4145717" y="818715"/>
              </a:lnTo>
              <a:lnTo>
                <a:pt x="4092821" y="826896"/>
              </a:lnTo>
              <a:lnTo>
                <a:pt x="4039988" y="835021"/>
              </a:lnTo>
              <a:lnTo>
                <a:pt x="3987860" y="843055"/>
              </a:lnTo>
              <a:lnTo>
                <a:pt x="3937081" y="850963"/>
              </a:lnTo>
              <a:lnTo>
                <a:pt x="3887317" y="858776"/>
              </a:lnTo>
              <a:lnTo>
                <a:pt x="3838141" y="866518"/>
              </a:lnTo>
              <a:lnTo>
                <a:pt x="3790051" y="874141"/>
              </a:lnTo>
              <a:lnTo>
                <a:pt x="3743548" y="881600"/>
              </a:lnTo>
              <a:lnTo>
                <a:pt x="3699132" y="888849"/>
              </a:lnTo>
              <a:lnTo>
                <a:pt x="3646275" y="897664"/>
              </a:lnTo>
              <a:lnTo>
                <a:pt x="3596010" y="906226"/>
              </a:lnTo>
              <a:lnTo>
                <a:pt x="3548781" y="914451"/>
              </a:lnTo>
              <a:lnTo>
                <a:pt x="3505031" y="922255"/>
              </a:lnTo>
              <a:lnTo>
                <a:pt x="3464936" y="929656"/>
              </a:lnTo>
              <a:lnTo>
                <a:pt x="3394739" y="943277"/>
              </a:lnTo>
              <a:lnTo>
                <a:pt x="3336890" y="954872"/>
              </a:lnTo>
              <a:lnTo>
                <a:pt x="3291388" y="964442"/>
              </a:lnTo>
              <a:lnTo>
                <a:pt x="3241711" y="976274"/>
              </a:lnTo>
              <a:lnTo>
                <a:pt x="3203784" y="988965"/>
              </a:lnTo>
              <a:lnTo>
                <a:pt x="3205863" y="991186"/>
              </a:lnTo>
              <a:lnTo>
                <a:pt x="3247522" y="996566"/>
              </a:lnTo>
              <a:lnTo>
                <a:pt x="3286070" y="997509"/>
              </a:lnTo>
              <a:lnTo>
                <a:pt x="3312446" y="997667"/>
              </a:lnTo>
              <a:lnTo>
                <a:pt x="3344060" y="997637"/>
              </a:lnTo>
              <a:lnTo>
                <a:pt x="3421491" y="996949"/>
              </a:lnTo>
              <a:lnTo>
                <a:pt x="3467517" y="996169"/>
              </a:lnTo>
              <a:lnTo>
                <a:pt x="3508081" y="995335"/>
              </a:lnTo>
              <a:lnTo>
                <a:pt x="3551959" y="994338"/>
              </a:lnTo>
              <a:lnTo>
                <a:pt x="3598858" y="993143"/>
              </a:lnTo>
              <a:lnTo>
                <a:pt x="3648487" y="991715"/>
              </a:lnTo>
              <a:lnTo>
                <a:pt x="3700555" y="990017"/>
              </a:lnTo>
              <a:lnTo>
                <a:pt x="3746031" y="988372"/>
              </a:lnTo>
              <a:lnTo>
                <a:pt x="3793620" y="986530"/>
              </a:lnTo>
              <a:lnTo>
                <a:pt x="3843038" y="984517"/>
              </a:lnTo>
              <a:lnTo>
                <a:pt x="3893999" y="982361"/>
              </a:lnTo>
              <a:lnTo>
                <a:pt x="3946219" y="980087"/>
              </a:lnTo>
              <a:lnTo>
                <a:pt x="3999413" y="977723"/>
              </a:lnTo>
              <a:lnTo>
                <a:pt x="4046034" y="975650"/>
              </a:lnTo>
              <a:lnTo>
                <a:pt x="4093884" y="973528"/>
              </a:lnTo>
              <a:lnTo>
                <a:pt x="4142735" y="971329"/>
              </a:lnTo>
              <a:lnTo>
                <a:pt x="4192359" y="969026"/>
              </a:lnTo>
              <a:lnTo>
                <a:pt x="4242527" y="966590"/>
              </a:lnTo>
              <a:lnTo>
                <a:pt x="4293012" y="963994"/>
              </a:lnTo>
              <a:lnTo>
                <a:pt x="4343587" y="961209"/>
              </a:lnTo>
              <a:lnTo>
                <a:pt x="4394653" y="958234"/>
              </a:lnTo>
              <a:lnTo>
                <a:pt x="4446549" y="955094"/>
              </a:lnTo>
              <a:lnTo>
                <a:pt x="4498946" y="951798"/>
              </a:lnTo>
              <a:lnTo>
                <a:pt x="4551518" y="948359"/>
              </a:lnTo>
              <a:lnTo>
                <a:pt x="4603938" y="944788"/>
              </a:lnTo>
              <a:lnTo>
                <a:pt x="4655880" y="941095"/>
              </a:lnTo>
              <a:lnTo>
                <a:pt x="4707016" y="937293"/>
              </a:lnTo>
              <a:lnTo>
                <a:pt x="4757734" y="933362"/>
              </a:lnTo>
              <a:lnTo>
                <a:pt x="4808453" y="929287"/>
              </a:lnTo>
              <a:lnTo>
                <a:pt x="4858895" y="925082"/>
              </a:lnTo>
              <a:lnTo>
                <a:pt x="4908781" y="920762"/>
              </a:lnTo>
              <a:lnTo>
                <a:pt x="4957834" y="916341"/>
              </a:lnTo>
              <a:lnTo>
                <a:pt x="5005776" y="911835"/>
              </a:lnTo>
              <a:lnTo>
                <a:pt x="5052327" y="907259"/>
              </a:lnTo>
              <a:lnTo>
                <a:pt x="5105223" y="901766"/>
              </a:lnTo>
              <a:lnTo>
                <a:pt x="5156969" y="896084"/>
              </a:lnTo>
              <a:lnTo>
                <a:pt x="5207329" y="890278"/>
              </a:lnTo>
              <a:lnTo>
                <a:pt x="5256063" y="884416"/>
              </a:lnTo>
              <a:lnTo>
                <a:pt x="5302934" y="878565"/>
              </a:lnTo>
              <a:lnTo>
                <a:pt x="5347704" y="872793"/>
              </a:lnTo>
              <a:lnTo>
                <a:pt x="5398763" y="865911"/>
              </a:lnTo>
              <a:lnTo>
                <a:pt x="5447171" y="859007"/>
              </a:lnTo>
              <a:lnTo>
                <a:pt x="5492880" y="852138"/>
              </a:lnTo>
              <a:lnTo>
                <a:pt x="5535841" y="845360"/>
              </a:lnTo>
              <a:lnTo>
                <a:pt x="5576005" y="838730"/>
              </a:lnTo>
              <a:lnTo>
                <a:pt x="5622107" y="830590"/>
              </a:lnTo>
              <a:lnTo>
                <a:pt x="5663772" y="822585"/>
              </a:lnTo>
              <a:lnTo>
                <a:pt x="5701352" y="814825"/>
              </a:lnTo>
              <a:lnTo>
                <a:pt x="5765036" y="800378"/>
              </a:lnTo>
              <a:lnTo>
                <a:pt x="5813157" y="787248"/>
              </a:lnTo>
              <a:lnTo>
                <a:pt x="5849445" y="775450"/>
              </a:lnTo>
              <a:lnTo>
                <a:pt x="5894039" y="754422"/>
              </a:lnTo>
              <a:lnTo>
                <a:pt x="5900096" y="749384"/>
              </a:lnTo>
              <a:lnTo>
                <a:pt x="5899284" y="745714"/>
              </a:lnTo>
              <a:lnTo>
                <a:pt x="5898473" y="742046"/>
              </a:lnTo>
              <a:lnTo>
                <a:pt x="5892270" y="739162"/>
              </a:lnTo>
              <a:lnTo>
                <a:pt x="5878085" y="738319"/>
              </a:lnTo>
              <a:lnTo>
                <a:pt x="5866154" y="737961"/>
              </a:lnTo>
              <a:lnTo>
                <a:pt x="5851581" y="738192"/>
              </a:lnTo>
              <a:lnTo>
                <a:pt x="5791648" y="743088"/>
              </a:lnTo>
              <a:lnTo>
                <a:pt x="5738254" y="750015"/>
              </a:lnTo>
              <a:lnTo>
                <a:pt x="5705728" y="753932"/>
              </a:lnTo>
              <a:lnTo>
                <a:pt x="5669051" y="757984"/>
              </a:lnTo>
              <a:lnTo>
                <a:pt x="5628587" y="762324"/>
              </a:lnTo>
              <a:lnTo>
                <a:pt x="5584039" y="766997"/>
              </a:lnTo>
              <a:lnTo>
                <a:pt x="5535107" y="772049"/>
              </a:lnTo>
              <a:lnTo>
                <a:pt x="5492779" y="776430"/>
              </a:lnTo>
              <a:lnTo>
                <a:pt x="5447729" y="781104"/>
              </a:lnTo>
              <a:lnTo>
                <a:pt x="5399928" y="785980"/>
              </a:lnTo>
              <a:lnTo>
                <a:pt x="5349345" y="790970"/>
              </a:lnTo>
              <a:lnTo>
                <a:pt x="5295950" y="795983"/>
              </a:lnTo>
              <a:lnTo>
                <a:pt x="5249007" y="800201"/>
              </a:lnTo>
              <a:lnTo>
                <a:pt x="5199766" y="804507"/>
              </a:lnTo>
              <a:lnTo>
                <a:pt x="5148587" y="808871"/>
              </a:lnTo>
              <a:lnTo>
                <a:pt x="5095828" y="813261"/>
              </a:lnTo>
              <a:lnTo>
                <a:pt x="5041847" y="817648"/>
              </a:lnTo>
              <a:lnTo>
                <a:pt x="4987004" y="822000"/>
              </a:lnTo>
              <a:lnTo>
                <a:pt x="4938917" y="825728"/>
              </a:lnTo>
              <a:lnTo>
                <a:pt x="4889450" y="829486"/>
              </a:lnTo>
              <a:lnTo>
                <a:pt x="4838965" y="833248"/>
              </a:lnTo>
              <a:lnTo>
                <a:pt x="4787824" y="836991"/>
              </a:lnTo>
              <a:lnTo>
                <a:pt x="4736390" y="840693"/>
              </a:lnTo>
              <a:lnTo>
                <a:pt x="4685026" y="844328"/>
              </a:lnTo>
              <a:lnTo>
                <a:pt x="4634094" y="847873"/>
              </a:lnTo>
              <a:lnTo>
                <a:pt x="4583104" y="851345"/>
              </a:lnTo>
              <a:lnTo>
                <a:pt x="4531570" y="854768"/>
              </a:lnTo>
              <a:lnTo>
                <a:pt x="4479863" y="858135"/>
              </a:lnTo>
              <a:lnTo>
                <a:pt x="4428350" y="861439"/>
              </a:lnTo>
              <a:lnTo>
                <a:pt x="4377402" y="864673"/>
              </a:lnTo>
              <a:lnTo>
                <a:pt x="4327387" y="867828"/>
              </a:lnTo>
              <a:lnTo>
                <a:pt x="4278676" y="870897"/>
              </a:lnTo>
              <a:lnTo>
                <a:pt x="4222966" y="874352"/>
              </a:lnTo>
              <a:lnTo>
                <a:pt x="4167957" y="877678"/>
              </a:lnTo>
              <a:lnTo>
                <a:pt x="4114052" y="880901"/>
              </a:lnTo>
              <a:lnTo>
                <a:pt x="4061651" y="884046"/>
              </a:lnTo>
              <a:lnTo>
                <a:pt x="4011159" y="887138"/>
              </a:lnTo>
              <a:lnTo>
                <a:pt x="3962976" y="890203"/>
              </a:lnTo>
              <a:lnTo>
                <a:pt x="3907875" y="893841"/>
              </a:lnTo>
              <a:lnTo>
                <a:pt x="3855321" y="897410"/>
              </a:lnTo>
              <a:lnTo>
                <a:pt x="3805613" y="900901"/>
              </a:lnTo>
              <a:lnTo>
                <a:pt x="3759053" y="904302"/>
              </a:lnTo>
              <a:lnTo>
                <a:pt x="3715941" y="907606"/>
              </a:lnTo>
              <a:lnTo>
                <a:pt x="3666589" y="911633"/>
              </a:lnTo>
              <a:lnTo>
                <a:pt x="3622126" y="915539"/>
              </a:lnTo>
              <a:lnTo>
                <a:pt x="3583109" y="919257"/>
              </a:lnTo>
              <a:lnTo>
                <a:pt x="3523149" y="925959"/>
              </a:lnTo>
              <a:lnTo>
                <a:pt x="3477355" y="934121"/>
              </a:lnTo>
              <a:lnTo>
                <a:pt x="3473850" y="936199"/>
              </a:lnTo>
              <a:lnTo>
                <a:pt x="3476192" y="937989"/>
              </a:lnTo>
              <a:lnTo>
                <a:pt x="3484573" y="939341"/>
              </a:lnTo>
              <a:lnTo>
                <a:pt x="3499186" y="940106"/>
              </a:lnTo>
              <a:lnTo>
                <a:pt x="3520333" y="940302"/>
              </a:lnTo>
              <a:lnTo>
                <a:pt x="3547826" y="939989"/>
              </a:lnTo>
              <a:lnTo>
                <a:pt x="3619701" y="937507"/>
              </a:lnTo>
              <a:lnTo>
                <a:pt x="3663785" y="935260"/>
              </a:lnTo>
              <a:lnTo>
                <a:pt x="3713540" y="932379"/>
              </a:lnTo>
              <a:lnTo>
                <a:pt x="3768304" y="928829"/>
              </a:lnTo>
              <a:lnTo>
                <a:pt x="3827419" y="924576"/>
              </a:lnTo>
              <a:lnTo>
                <a:pt x="3869448" y="921327"/>
              </a:lnTo>
              <a:lnTo>
                <a:pt x="3913869" y="917750"/>
              </a:lnTo>
              <a:lnTo>
                <a:pt x="3960321" y="913866"/>
              </a:lnTo>
              <a:lnTo>
                <a:pt x="4008443" y="909695"/>
              </a:lnTo>
              <a:lnTo>
                <a:pt x="4057876" y="905259"/>
              </a:lnTo>
              <a:lnTo>
                <a:pt x="4108258" y="900578"/>
              </a:lnTo>
              <a:lnTo>
                <a:pt x="4160006" y="895659"/>
              </a:lnTo>
              <a:lnTo>
                <a:pt x="4213491" y="890487"/>
              </a:lnTo>
              <a:lnTo>
                <a:pt x="4268285" y="885050"/>
              </a:lnTo>
              <a:lnTo>
                <a:pt x="4323964" y="879335"/>
              </a:lnTo>
              <a:lnTo>
                <a:pt x="4380099" y="873331"/>
              </a:lnTo>
              <a:lnTo>
                <a:pt x="4436265" y="867026"/>
              </a:lnTo>
              <a:lnTo>
                <a:pt x="4484666" y="861356"/>
              </a:lnTo>
              <a:lnTo>
                <a:pt x="4533672" y="855440"/>
              </a:lnTo>
              <a:lnTo>
                <a:pt x="4583081" y="849302"/>
              </a:lnTo>
              <a:lnTo>
                <a:pt x="4632691" y="842970"/>
              </a:lnTo>
              <a:lnTo>
                <a:pt x="4682301" y="836468"/>
              </a:lnTo>
              <a:lnTo>
                <a:pt x="4731710" y="829822"/>
              </a:lnTo>
              <a:lnTo>
                <a:pt x="4780717" y="823059"/>
              </a:lnTo>
              <a:lnTo>
                <a:pt x="4829635" y="816132"/>
              </a:lnTo>
              <a:lnTo>
                <a:pt x="4878748" y="809001"/>
              </a:lnTo>
              <a:lnTo>
                <a:pt x="4927809" y="801706"/>
              </a:lnTo>
              <a:lnTo>
                <a:pt x="4976571" y="794284"/>
              </a:lnTo>
              <a:lnTo>
                <a:pt x="5024788" y="786773"/>
              </a:lnTo>
              <a:lnTo>
                <a:pt x="5072212" y="779212"/>
              </a:lnTo>
              <a:lnTo>
                <a:pt x="5118598" y="771639"/>
              </a:lnTo>
              <a:lnTo>
                <a:pt x="5171736" y="762701"/>
              </a:lnTo>
              <a:lnTo>
                <a:pt x="5224156" y="753594"/>
              </a:lnTo>
              <a:lnTo>
                <a:pt x="5275610" y="744401"/>
              </a:lnTo>
              <a:lnTo>
                <a:pt x="5325849" y="735206"/>
              </a:lnTo>
              <a:lnTo>
                <a:pt x="5374624" y="726089"/>
              </a:lnTo>
              <a:lnTo>
                <a:pt x="5421685" y="717136"/>
              </a:lnTo>
              <a:lnTo>
                <a:pt x="5476159" y="706538"/>
              </a:lnTo>
              <a:lnTo>
                <a:pt x="5528705" y="696015"/>
              </a:lnTo>
              <a:lnTo>
                <a:pt x="5579052" y="685627"/>
              </a:lnTo>
              <a:lnTo>
                <a:pt x="5626928" y="675434"/>
              </a:lnTo>
              <a:lnTo>
                <a:pt x="5672060" y="665494"/>
              </a:lnTo>
              <a:lnTo>
                <a:pt x="5724484" y="653373"/>
              </a:lnTo>
              <a:lnTo>
                <a:pt x="5772798" y="641557"/>
              </a:lnTo>
              <a:lnTo>
                <a:pt x="5817322" y="630136"/>
              </a:lnTo>
              <a:lnTo>
                <a:pt x="5858376" y="619202"/>
              </a:lnTo>
              <a:lnTo>
                <a:pt x="5895820" y="608739"/>
              </a:lnTo>
              <a:lnTo>
                <a:pt x="5959981" y="589182"/>
              </a:lnTo>
              <a:lnTo>
                <a:pt x="6011961" y="571802"/>
              </a:lnTo>
              <a:lnTo>
                <a:pt x="6051762" y="556600"/>
              </a:lnTo>
              <a:lnTo>
                <a:pt x="6091469" y="538154"/>
              </a:lnTo>
              <a:lnTo>
                <a:pt x="6110445" y="524021"/>
              </a:lnTo>
              <a:lnTo>
                <a:pt x="6108729" y="521072"/>
              </a:lnTo>
              <a:lnTo>
                <a:pt x="6101272" y="519732"/>
              </a:lnTo>
              <a:lnTo>
                <a:pt x="6094507" y="518997"/>
              </a:lnTo>
              <a:lnTo>
                <a:pt x="6085394" y="518882"/>
              </a:lnTo>
              <a:lnTo>
                <a:pt x="6073927" y="519511"/>
              </a:lnTo>
              <a:lnTo>
                <a:pt x="6025470" y="526741"/>
              </a:lnTo>
              <a:lnTo>
                <a:pt x="5981188" y="535452"/>
              </a:lnTo>
              <a:lnTo>
                <a:pt x="5926863" y="546748"/>
              </a:lnTo>
              <a:lnTo>
                <a:pt x="5862787" y="560513"/>
              </a:lnTo>
              <a:lnTo>
                <a:pt x="5788906" y="576718"/>
              </a:lnTo>
              <a:lnTo>
                <a:pt x="5748443" y="585587"/>
              </a:lnTo>
              <a:lnTo>
                <a:pt x="5705870" y="594721"/>
              </a:lnTo>
              <a:lnTo>
                <a:pt x="5661146" y="604044"/>
              </a:lnTo>
              <a:lnTo>
                <a:pt x="5614206" y="613663"/>
              </a:lnTo>
              <a:lnTo>
                <a:pt x="5565188" y="623673"/>
              </a:lnTo>
              <a:lnTo>
                <a:pt x="5514229" y="634167"/>
              </a:lnTo>
              <a:lnTo>
                <a:pt x="5460697" y="645281"/>
              </a:lnTo>
              <a:lnTo>
                <a:pt x="5404742" y="656928"/>
              </a:lnTo>
              <a:lnTo>
                <a:pt x="5347674" y="668869"/>
              </a:lnTo>
              <a:lnTo>
                <a:pt x="5290803" y="680866"/>
              </a:lnTo>
              <a:lnTo>
                <a:pt x="5245267" y="690539"/>
              </a:lnTo>
              <a:lnTo>
                <a:pt x="5199187" y="700371"/>
              </a:lnTo>
              <a:lnTo>
                <a:pt x="5153149" y="710253"/>
              </a:lnTo>
              <a:lnTo>
                <a:pt x="5107736" y="720076"/>
              </a:lnTo>
              <a:lnTo>
                <a:pt x="5063532" y="729733"/>
              </a:lnTo>
              <a:lnTo>
                <a:pt x="5009526" y="741625"/>
              </a:lnTo>
              <a:lnTo>
                <a:pt x="4956538" y="753398"/>
              </a:lnTo>
              <a:lnTo>
                <a:pt x="4905357" y="764964"/>
              </a:lnTo>
              <a:lnTo>
                <a:pt x="4856770" y="776237"/>
              </a:lnTo>
              <a:lnTo>
                <a:pt x="4810668" y="787284"/>
              </a:lnTo>
              <a:lnTo>
                <a:pt x="4766740" y="798121"/>
              </a:lnTo>
              <a:lnTo>
                <a:pt x="4725460" y="808585"/>
              </a:lnTo>
              <a:lnTo>
                <a:pt x="4687305" y="818515"/>
              </a:lnTo>
              <a:lnTo>
                <a:pt x="4620556" y="836800"/>
              </a:lnTo>
              <a:lnTo>
                <a:pt x="4565298" y="853112"/>
              </a:lnTo>
              <a:lnTo>
                <a:pt x="4521538" y="867299"/>
              </a:lnTo>
              <a:lnTo>
                <a:pt x="4473893" y="885105"/>
              </a:lnTo>
              <a:lnTo>
                <a:pt x="4437639" y="904825"/>
              </a:lnTo>
              <a:lnTo>
                <a:pt x="4435279" y="909597"/>
              </a:lnTo>
              <a:lnTo>
                <a:pt x="4439737" y="913554"/>
              </a:lnTo>
              <a:lnTo>
                <a:pt x="4487114" y="924579"/>
              </a:lnTo>
              <a:lnTo>
                <a:pt x="4547951" y="928158"/>
              </a:lnTo>
              <a:lnTo>
                <a:pt x="4604480" y="929711"/>
              </a:lnTo>
              <a:lnTo>
                <a:pt x="4672636" y="930461"/>
              </a:lnTo>
              <a:lnTo>
                <a:pt x="4710673" y="930561"/>
              </a:lnTo>
              <a:lnTo>
                <a:pt x="4751458" y="930488"/>
              </a:lnTo>
              <a:lnTo>
                <a:pt x="4794975" y="930107"/>
              </a:lnTo>
              <a:lnTo>
                <a:pt x="4841208" y="929280"/>
              </a:lnTo>
              <a:lnTo>
                <a:pt x="4890406" y="928069"/>
              </a:lnTo>
              <a:lnTo>
                <a:pt x="4942495" y="926514"/>
              </a:lnTo>
              <a:lnTo>
                <a:pt x="4996965" y="924447"/>
              </a:lnTo>
              <a:lnTo>
                <a:pt x="5053311" y="921697"/>
              </a:lnTo>
              <a:lnTo>
                <a:pt x="5099989" y="918929"/>
              </a:lnTo>
              <a:lnTo>
                <a:pt x="5148305" y="915710"/>
              </a:lnTo>
              <a:lnTo>
                <a:pt x="5197765" y="912116"/>
              </a:lnTo>
              <a:lnTo>
                <a:pt x="5247871" y="908221"/>
              </a:lnTo>
              <a:lnTo>
                <a:pt x="5298126" y="904102"/>
              </a:lnTo>
              <a:lnTo>
                <a:pt x="5348858" y="899689"/>
              </a:lnTo>
              <a:lnTo>
                <a:pt x="5400400" y="894931"/>
              </a:lnTo>
              <a:lnTo>
                <a:pt x="5452257" y="889932"/>
              </a:lnTo>
              <a:lnTo>
                <a:pt x="5503940" y="884798"/>
              </a:lnTo>
              <a:lnTo>
                <a:pt x="5554956" y="879633"/>
              </a:lnTo>
              <a:lnTo>
                <a:pt x="5605601" y="874447"/>
              </a:lnTo>
              <a:lnTo>
                <a:pt x="5656203" y="869170"/>
              </a:lnTo>
              <a:lnTo>
                <a:pt x="5706318" y="863788"/>
              </a:lnTo>
              <a:lnTo>
                <a:pt x="5755501" y="858285"/>
              </a:lnTo>
              <a:lnTo>
                <a:pt x="5803307" y="852645"/>
              </a:lnTo>
              <a:lnTo>
                <a:pt x="5861436" y="845325"/>
              </a:lnTo>
              <a:lnTo>
                <a:pt x="5918051" y="837753"/>
              </a:lnTo>
              <a:lnTo>
                <a:pt x="5972630" y="830093"/>
              </a:lnTo>
              <a:lnTo>
                <a:pt x="6024649" y="822506"/>
              </a:lnTo>
              <a:lnTo>
                <a:pt x="6074151" y="814942"/>
              </a:lnTo>
              <a:lnTo>
                <a:pt x="6121356" y="807346"/>
              </a:lnTo>
              <a:lnTo>
                <a:pt x="6166000" y="799872"/>
              </a:lnTo>
              <a:lnTo>
                <a:pt x="6207824" y="792675"/>
              </a:lnTo>
              <a:lnTo>
                <a:pt x="6246788" y="785757"/>
              </a:lnTo>
              <a:lnTo>
                <a:pt x="6316516" y="772595"/>
              </a:lnTo>
              <a:lnTo>
                <a:pt x="6375078" y="760587"/>
              </a:lnTo>
              <a:lnTo>
                <a:pt x="6422474" y="749730"/>
              </a:lnTo>
              <a:lnTo>
                <a:pt x="6460740" y="740412"/>
              </a:lnTo>
              <a:lnTo>
                <a:pt x="6501636" y="729270"/>
              </a:lnTo>
              <a:lnTo>
                <a:pt x="6530604" y="719320"/>
              </a:lnTo>
              <a:lnTo>
                <a:pt x="6535325" y="717567"/>
              </a:lnTo>
              <a:lnTo>
                <a:pt x="6493375" y="733619"/>
              </a:lnTo>
              <a:lnTo>
                <a:pt x="6455134" y="750423"/>
              </a:lnTo>
              <a:lnTo>
                <a:pt x="6421081" y="766593"/>
              </a:lnTo>
              <a:lnTo>
                <a:pt x="6401505" y="775957"/>
              </a:lnTo>
              <a:lnTo>
                <a:pt x="6357000" y="796590"/>
              </a:lnTo>
              <a:lnTo>
                <a:pt x="6305424" y="819925"/>
              </a:lnTo>
              <a:lnTo>
                <a:pt x="6246439" y="845537"/>
              </a:lnTo>
              <a:lnTo>
                <a:pt x="6180045" y="873428"/>
              </a:lnTo>
              <a:lnTo>
                <a:pt x="6144710" y="887820"/>
              </a:lnTo>
              <a:lnTo>
                <a:pt x="6107855" y="902517"/>
              </a:lnTo>
              <a:lnTo>
                <a:pt x="6069414" y="917583"/>
              </a:lnTo>
              <a:lnTo>
                <a:pt x="6029866" y="932805"/>
              </a:lnTo>
              <a:lnTo>
                <a:pt x="5989690" y="947973"/>
              </a:lnTo>
              <a:lnTo>
                <a:pt x="5948758" y="963105"/>
              </a:lnTo>
              <a:lnTo>
                <a:pt x="5906899" y="978289"/>
              </a:lnTo>
              <a:lnTo>
                <a:pt x="5864530" y="993417"/>
              </a:lnTo>
              <a:lnTo>
                <a:pt x="5822064" y="1008381"/>
              </a:lnTo>
              <a:lnTo>
                <a:pt x="5779227" y="1023221"/>
              </a:lnTo>
              <a:lnTo>
                <a:pt x="5735925" y="1037971"/>
              </a:lnTo>
              <a:lnTo>
                <a:pt x="5692851" y="1052518"/>
              </a:lnTo>
              <a:lnTo>
                <a:pt x="5650699" y="1066748"/>
              </a:lnTo>
              <a:lnTo>
                <a:pt x="5609228" y="1080729"/>
              </a:lnTo>
              <a:lnTo>
                <a:pt x="5568209" y="1094488"/>
              </a:lnTo>
              <a:lnTo>
                <a:pt x="5528357" y="1107854"/>
              </a:lnTo>
              <a:lnTo>
                <a:pt x="5490388" y="1120652"/>
              </a:lnTo>
              <a:lnTo>
                <a:pt x="5454307" y="1132902"/>
              </a:lnTo>
              <a:lnTo>
                <a:pt x="5419795" y="1144675"/>
              </a:lnTo>
              <a:lnTo>
                <a:pt x="5387076" y="1155874"/>
              </a:lnTo>
              <a:lnTo>
                <a:pt x="5356374" y="1166400"/>
              </a:lnTo>
              <a:lnTo>
                <a:pt x="5327488" y="1176297"/>
              </a:lnTo>
              <a:lnTo>
                <a:pt x="5275544" y="1194173"/>
              </a:lnTo>
              <a:lnTo>
                <a:pt x="5234013" y="1208889"/>
              </a:lnTo>
              <a:lnTo>
                <a:pt x="5202898" y="1220444"/>
              </a:lnTo>
              <a:lnTo>
                <a:pt x="5191621" y="1224653"/>
              </a:lnTo>
              <a:lnTo>
                <a:pt x="5178629" y="1229444"/>
              </a:lnTo>
              <a:lnTo>
                <a:pt x="5172814" y="1231572"/>
              </a:lnTo>
              <a:lnTo>
                <a:pt x="5175478" y="1230659"/>
              </a:lnTo>
              <a:lnTo>
                <a:pt x="5178956" y="1229367"/>
              </a:lnTo>
              <a:lnTo>
                <a:pt x="5185432" y="1226942"/>
              </a:lnTo>
              <a:lnTo>
                <a:pt x="5194962" y="1223504"/>
              </a:lnTo>
              <a:lnTo>
                <a:pt x="5242400" y="1207713"/>
              </a:lnTo>
              <a:lnTo>
                <a:pt x="5289195" y="1192803"/>
              </a:lnTo>
              <a:lnTo>
                <a:pt x="5348327" y="1174655"/>
              </a:lnTo>
              <a:lnTo>
                <a:pt x="5417308" y="1153745"/>
              </a:lnTo>
              <a:lnTo>
                <a:pt x="5454903" y="1142395"/>
              </a:lnTo>
              <a:lnTo>
                <a:pt x="5494864" y="1130380"/>
              </a:lnTo>
              <a:lnTo>
                <a:pt x="5536145" y="1117928"/>
              </a:lnTo>
              <a:lnTo>
                <a:pt x="5577698" y="1105266"/>
              </a:lnTo>
              <a:lnTo>
                <a:pt x="5619802" y="1092281"/>
              </a:lnTo>
              <a:lnTo>
                <a:pt x="5662830" y="1078910"/>
              </a:lnTo>
              <a:lnTo>
                <a:pt x="5705875" y="1065455"/>
              </a:lnTo>
              <a:lnTo>
                <a:pt x="5748030" y="1052217"/>
              </a:lnTo>
              <a:lnTo>
                <a:pt x="5789524" y="1039180"/>
              </a:lnTo>
              <a:lnTo>
                <a:pt x="5830683" y="1026213"/>
              </a:lnTo>
              <a:lnTo>
                <a:pt x="5870749" y="1013455"/>
              </a:lnTo>
              <a:lnTo>
                <a:pt x="5908964" y="1001041"/>
              </a:lnTo>
              <a:lnTo>
                <a:pt x="5945441" y="988902"/>
              </a:lnTo>
              <a:lnTo>
                <a:pt x="6013600" y="965521"/>
              </a:lnTo>
              <a:lnTo>
                <a:pt x="6072585" y="944346"/>
              </a:lnTo>
              <a:lnTo>
                <a:pt x="6122396" y="925376"/>
              </a:lnTo>
              <a:lnTo>
                <a:pt x="6163132" y="909159"/>
              </a:lnTo>
              <a:lnTo>
                <a:pt x="6207000" y="889899"/>
              </a:lnTo>
              <a:lnTo>
                <a:pt x="6233508" y="868766"/>
              </a:lnTo>
              <a:lnTo>
                <a:pt x="6228554" y="866561"/>
              </a:lnTo>
              <a:lnTo>
                <a:pt x="6219417" y="865322"/>
              </a:lnTo>
              <a:lnTo>
                <a:pt x="6211604" y="864647"/>
              </a:lnTo>
              <a:lnTo>
                <a:pt x="6201868" y="864459"/>
              </a:lnTo>
              <a:lnTo>
                <a:pt x="6190208" y="864731"/>
              </a:lnTo>
              <a:lnTo>
                <a:pt x="6176623" y="865433"/>
              </a:lnTo>
              <a:lnTo>
                <a:pt x="6161217" y="866635"/>
              </a:lnTo>
              <a:lnTo>
                <a:pt x="6143956" y="868326"/>
              </a:lnTo>
              <a:lnTo>
                <a:pt x="6124629" y="870360"/>
              </a:lnTo>
              <a:lnTo>
                <a:pt x="6103026" y="872590"/>
              </a:lnTo>
              <a:lnTo>
                <a:pt x="6079098" y="875083"/>
              </a:lnTo>
              <a:lnTo>
                <a:pt x="6052955" y="877882"/>
              </a:lnTo>
              <a:lnTo>
                <a:pt x="6024622" y="880805"/>
              </a:lnTo>
              <a:lnTo>
                <a:pt x="5961429" y="886427"/>
              </a:lnTo>
              <a:lnTo>
                <a:pt x="5889517" y="891948"/>
              </a:lnTo>
              <a:lnTo>
                <a:pt x="5850422" y="894837"/>
              </a:lnTo>
              <a:lnTo>
                <a:pt x="5809115" y="897910"/>
              </a:lnTo>
              <a:lnTo>
                <a:pt x="5765616" y="901113"/>
              </a:lnTo>
              <a:lnTo>
                <a:pt x="5720223" y="904315"/>
              </a:lnTo>
              <a:lnTo>
                <a:pt x="5673232" y="907382"/>
              </a:lnTo>
              <a:lnTo>
                <a:pt x="5624701" y="910321"/>
              </a:lnTo>
              <a:lnTo>
                <a:pt x="5574478" y="913187"/>
              </a:lnTo>
              <a:lnTo>
                <a:pt x="5522549" y="915927"/>
              </a:lnTo>
              <a:lnTo>
                <a:pt x="5468900" y="918485"/>
              </a:lnTo>
              <a:lnTo>
                <a:pt x="5424666" y="920395"/>
              </a:lnTo>
              <a:lnTo>
                <a:pt x="5379262" y="922203"/>
              </a:lnTo>
              <a:lnTo>
                <a:pt x="5332795" y="923905"/>
              </a:lnTo>
              <a:lnTo>
                <a:pt x="5285375" y="925499"/>
              </a:lnTo>
              <a:lnTo>
                <a:pt x="5237109" y="926980"/>
              </a:lnTo>
              <a:lnTo>
                <a:pt x="5187898" y="928343"/>
              </a:lnTo>
              <a:lnTo>
                <a:pt x="5137671" y="929590"/>
              </a:lnTo>
              <a:lnTo>
                <a:pt x="5086575" y="930729"/>
              </a:lnTo>
              <a:lnTo>
                <a:pt x="5034758" y="931772"/>
              </a:lnTo>
              <a:lnTo>
                <a:pt x="4982368" y="932727"/>
              </a:lnTo>
              <a:lnTo>
                <a:pt x="4928895" y="933558"/>
              </a:lnTo>
              <a:lnTo>
                <a:pt x="4874241" y="934260"/>
              </a:lnTo>
              <a:lnTo>
                <a:pt x="4819170" y="934886"/>
              </a:lnTo>
              <a:lnTo>
                <a:pt x="4764446" y="935489"/>
              </a:lnTo>
              <a:lnTo>
                <a:pt x="4710836" y="936122"/>
              </a:lnTo>
              <a:lnTo>
                <a:pt x="4658046" y="936767"/>
              </a:lnTo>
              <a:lnTo>
                <a:pt x="4605568" y="937389"/>
              </a:lnTo>
              <a:lnTo>
                <a:pt x="4553838" y="938015"/>
              </a:lnTo>
              <a:lnTo>
                <a:pt x="4503295" y="938671"/>
              </a:lnTo>
              <a:lnTo>
                <a:pt x="4454375" y="939385"/>
              </a:lnTo>
              <a:lnTo>
                <a:pt x="4395080" y="940347"/>
              </a:lnTo>
              <a:lnTo>
                <a:pt x="4337609" y="941366"/>
              </a:lnTo>
              <a:lnTo>
                <a:pt x="4282733" y="942460"/>
              </a:lnTo>
              <a:lnTo>
                <a:pt x="4231222" y="943647"/>
              </a:lnTo>
              <a:lnTo>
                <a:pt x="4183133" y="944969"/>
              </a:lnTo>
              <a:lnTo>
                <a:pt x="4138105" y="946404"/>
              </a:lnTo>
              <a:lnTo>
                <a:pt x="4096279" y="947875"/>
              </a:lnTo>
              <a:lnTo>
                <a:pt x="4057794" y="949304"/>
              </a:lnTo>
              <a:lnTo>
                <a:pt x="3991319" y="951981"/>
              </a:lnTo>
              <a:lnTo>
                <a:pt x="3937092" y="954696"/>
              </a:lnTo>
              <a:lnTo>
                <a:pt x="3894327" y="957587"/>
              </a:lnTo>
              <a:lnTo>
                <a:pt x="3848397" y="962290"/>
              </a:lnTo>
              <a:lnTo>
                <a:pt x="3810863" y="972832"/>
              </a:lnTo>
              <a:lnTo>
                <a:pt x="3814310" y="975273"/>
              </a:lnTo>
              <a:lnTo>
                <a:pt x="3855759" y="983634"/>
              </a:lnTo>
              <a:lnTo>
                <a:pt x="3912490" y="987443"/>
              </a:lnTo>
              <a:lnTo>
                <a:pt x="3966168" y="989533"/>
              </a:lnTo>
              <a:lnTo>
                <a:pt x="4032281" y="991026"/>
              </a:lnTo>
              <a:lnTo>
                <a:pt x="4111392" y="991976"/>
              </a:lnTo>
              <a:lnTo>
                <a:pt x="4155423" y="992044"/>
              </a:lnTo>
              <a:lnTo>
                <a:pt x="4201915" y="991528"/>
              </a:lnTo>
              <a:lnTo>
                <a:pt x="4250952" y="990414"/>
              </a:lnTo>
              <a:lnTo>
                <a:pt x="4302680" y="988811"/>
              </a:lnTo>
              <a:lnTo>
                <a:pt x="4356800" y="986666"/>
              </a:lnTo>
              <a:lnTo>
                <a:pt x="4413014" y="983925"/>
              </a:lnTo>
              <a:lnTo>
                <a:pt x="4459721" y="981254"/>
              </a:lnTo>
              <a:lnTo>
                <a:pt x="4508107" y="978171"/>
              </a:lnTo>
              <a:lnTo>
                <a:pt x="4557759" y="974740"/>
              </a:lnTo>
              <a:lnTo>
                <a:pt x="4608263" y="971022"/>
              </a:lnTo>
              <a:lnTo>
                <a:pt x="4659204" y="967082"/>
              </a:lnTo>
              <a:lnTo>
                <a:pt x="4710976" y="962855"/>
              </a:lnTo>
              <a:lnTo>
                <a:pt x="4763855" y="958298"/>
              </a:lnTo>
              <a:lnTo>
                <a:pt x="4817251" y="953509"/>
              </a:lnTo>
              <a:lnTo>
                <a:pt x="4870573" y="948584"/>
              </a:lnTo>
              <a:lnTo>
                <a:pt x="4923228" y="943623"/>
              </a:lnTo>
              <a:lnTo>
                <a:pt x="4975552" y="938636"/>
              </a:lnTo>
              <a:lnTo>
                <a:pt x="5027938" y="933559"/>
              </a:lnTo>
              <a:lnTo>
                <a:pt x="5079885" y="928373"/>
              </a:lnTo>
              <a:lnTo>
                <a:pt x="5130893" y="923060"/>
              </a:lnTo>
              <a:lnTo>
                <a:pt x="5180459" y="917602"/>
              </a:lnTo>
              <a:lnTo>
                <a:pt x="5228754" y="911942"/>
              </a:lnTo>
              <a:lnTo>
                <a:pt x="5276112" y="906095"/>
              </a:lnTo>
              <a:lnTo>
                <a:pt x="5322277" y="900141"/>
              </a:lnTo>
              <a:lnTo>
                <a:pt x="5366996" y="894164"/>
              </a:lnTo>
              <a:lnTo>
                <a:pt x="5410015" y="888245"/>
              </a:lnTo>
              <a:lnTo>
                <a:pt x="5461623" y="880840"/>
              </a:lnTo>
              <a:lnTo>
                <a:pt x="5510972" y="873389"/>
              </a:lnTo>
              <a:lnTo>
                <a:pt x="5557662" y="866047"/>
              </a:lnTo>
              <a:lnTo>
                <a:pt x="5601295" y="858969"/>
              </a:lnTo>
              <a:lnTo>
                <a:pt x="5641793" y="852194"/>
              </a:lnTo>
              <a:lnTo>
                <a:pt x="5679359" y="845639"/>
              </a:lnTo>
              <a:lnTo>
                <a:pt x="5745782" y="833091"/>
              </a:lnTo>
              <a:lnTo>
                <a:pt x="5800548" y="820968"/>
              </a:lnTo>
              <a:lnTo>
                <a:pt x="5843931" y="810072"/>
              </a:lnTo>
              <a:lnTo>
                <a:pt x="5888631" y="797087"/>
              </a:lnTo>
              <a:lnTo>
                <a:pt x="5907422" y="788547"/>
              </a:lnTo>
              <a:lnTo>
                <a:pt x="5899904" y="789029"/>
              </a:lnTo>
              <a:lnTo>
                <a:pt x="5892830" y="789822"/>
              </a:lnTo>
              <a:lnTo>
                <a:pt x="5882709" y="791440"/>
              </a:lnTo>
              <a:lnTo>
                <a:pt x="5869273" y="793821"/>
              </a:lnTo>
              <a:lnTo>
                <a:pt x="5852254" y="796906"/>
              </a:lnTo>
              <a:lnTo>
                <a:pt x="5831681" y="800631"/>
              </a:lnTo>
              <a:lnTo>
                <a:pt x="5780053" y="810250"/>
              </a:lnTo>
              <a:lnTo>
                <a:pt x="5713261" y="823521"/>
              </a:lnTo>
              <a:lnTo>
                <a:pt x="5673891" y="831644"/>
              </a:lnTo>
              <a:lnTo>
                <a:pt x="5631303" y="840441"/>
              </a:lnTo>
              <a:lnTo>
                <a:pt x="5586199" y="849627"/>
              </a:lnTo>
              <a:lnTo>
                <a:pt x="5538536" y="859217"/>
              </a:lnTo>
              <a:lnTo>
                <a:pt x="5488016" y="869333"/>
              </a:lnTo>
              <a:lnTo>
                <a:pt x="5434960" y="879848"/>
              </a:lnTo>
              <a:lnTo>
                <a:pt x="5379690" y="890631"/>
              </a:lnTo>
              <a:lnTo>
                <a:pt x="5333931" y="899467"/>
              </a:lnTo>
              <a:lnTo>
                <a:pt x="5286687" y="908539"/>
              </a:lnTo>
              <a:lnTo>
                <a:pt x="5237957" y="917792"/>
              </a:lnTo>
              <a:lnTo>
                <a:pt x="5187742" y="927175"/>
              </a:lnTo>
              <a:lnTo>
                <a:pt x="5136043" y="936632"/>
              </a:lnTo>
              <a:lnTo>
                <a:pt x="5091716" y="944550"/>
              </a:lnTo>
              <a:lnTo>
                <a:pt x="5046225" y="952522"/>
              </a:lnTo>
              <a:lnTo>
                <a:pt x="4999702" y="960572"/>
              </a:lnTo>
              <a:lnTo>
                <a:pt x="4952282" y="968721"/>
              </a:lnTo>
              <a:lnTo>
                <a:pt x="4904096" y="976994"/>
              </a:lnTo>
              <a:lnTo>
                <a:pt x="4855277" y="985412"/>
              </a:lnTo>
              <a:lnTo>
                <a:pt x="4805469" y="994010"/>
              </a:lnTo>
              <a:lnTo>
                <a:pt x="4754494" y="1002776"/>
              </a:lnTo>
              <a:lnTo>
                <a:pt x="4702754" y="1011664"/>
              </a:lnTo>
              <a:lnTo>
                <a:pt x="4650649" y="1020632"/>
              </a:lnTo>
              <a:lnTo>
                <a:pt x="4598582" y="1029635"/>
              </a:lnTo>
              <a:lnTo>
                <a:pt x="4546955" y="1038629"/>
              </a:lnTo>
              <a:lnTo>
                <a:pt x="4495404" y="1047662"/>
              </a:lnTo>
              <a:lnTo>
                <a:pt x="4443535" y="1056777"/>
              </a:lnTo>
              <a:lnTo>
                <a:pt x="4391705" y="1065928"/>
              </a:lnTo>
              <a:lnTo>
                <a:pt x="4340267" y="1075067"/>
              </a:lnTo>
              <a:lnTo>
                <a:pt x="4289577" y="1084146"/>
              </a:lnTo>
              <a:lnTo>
                <a:pt x="4239990" y="1093118"/>
              </a:lnTo>
              <a:lnTo>
                <a:pt x="4191259" y="1102025"/>
              </a:lnTo>
              <a:lnTo>
                <a:pt x="4143049" y="1110914"/>
              </a:lnTo>
              <a:lnTo>
                <a:pt x="4095587" y="1119743"/>
              </a:lnTo>
              <a:lnTo>
                <a:pt x="4049100" y="1128471"/>
              </a:lnTo>
              <a:lnTo>
                <a:pt x="4003814" y="1137057"/>
              </a:lnTo>
              <a:lnTo>
                <a:pt x="3959956" y="1145460"/>
              </a:lnTo>
              <a:lnTo>
                <a:pt x="3908969" y="1155351"/>
              </a:lnTo>
              <a:lnTo>
                <a:pt x="3859544" y="1165073"/>
              </a:lnTo>
              <a:lnTo>
                <a:pt x="3811933" y="1174573"/>
              </a:lnTo>
              <a:lnTo>
                <a:pt x="3766388" y="1183797"/>
              </a:lnTo>
              <a:lnTo>
                <a:pt x="3723163" y="1192691"/>
              </a:lnTo>
              <a:lnTo>
                <a:pt x="3672306" y="1203423"/>
              </a:lnTo>
              <a:lnTo>
                <a:pt x="3624769" y="1213746"/>
              </a:lnTo>
              <a:lnTo>
                <a:pt x="3580673" y="1223512"/>
              </a:lnTo>
              <a:lnTo>
                <a:pt x="3540143" y="1232576"/>
              </a:lnTo>
              <a:lnTo>
                <a:pt x="3470190" y="1248484"/>
              </a:lnTo>
              <a:lnTo>
                <a:pt x="3413500" y="1262009"/>
              </a:lnTo>
              <a:lnTo>
                <a:pt x="3368851" y="1273550"/>
              </a:lnTo>
              <a:lnTo>
                <a:pt x="3324830" y="1286645"/>
              </a:lnTo>
              <a:lnTo>
                <a:pt x="3308935" y="1294190"/>
              </a:lnTo>
              <a:lnTo>
                <a:pt x="3310912" y="1294929"/>
              </a:lnTo>
              <a:lnTo>
                <a:pt x="3358099" y="1290151"/>
              </a:lnTo>
              <a:lnTo>
                <a:pt x="3380549" y="1287157"/>
              </a:lnTo>
              <a:lnTo>
                <a:pt x="3407694" y="1283558"/>
              </a:lnTo>
              <a:lnTo>
                <a:pt x="3440071" y="1279490"/>
              </a:lnTo>
              <a:lnTo>
                <a:pt x="3477770" y="1275023"/>
              </a:lnTo>
              <a:lnTo>
                <a:pt x="3520521" y="1270073"/>
              </a:lnTo>
              <a:lnTo>
                <a:pt x="3568329" y="1264546"/>
              </a:lnTo>
              <a:lnTo>
                <a:pt x="3621198" y="1258348"/>
              </a:lnTo>
              <a:lnTo>
                <a:pt x="3667279" y="1252826"/>
              </a:lnTo>
              <a:lnTo>
                <a:pt x="3716740" y="1246832"/>
              </a:lnTo>
              <a:lnTo>
                <a:pt x="3769369" y="1240460"/>
              </a:lnTo>
              <a:lnTo>
                <a:pt x="3824953" y="1233805"/>
              </a:lnTo>
              <a:lnTo>
                <a:pt x="3883279" y="1226963"/>
              </a:lnTo>
              <a:lnTo>
                <a:pt x="3926821" y="1221928"/>
              </a:lnTo>
              <a:lnTo>
                <a:pt x="3972125" y="1216710"/>
              </a:lnTo>
              <a:lnTo>
                <a:pt x="4018972" y="1211350"/>
              </a:lnTo>
              <a:lnTo>
                <a:pt x="4067146" y="1205890"/>
              </a:lnTo>
              <a:lnTo>
                <a:pt x="4116430" y="1200370"/>
              </a:lnTo>
              <a:lnTo>
                <a:pt x="4166607" y="1194831"/>
              </a:lnTo>
              <a:lnTo>
                <a:pt x="4217461" y="1189315"/>
              </a:lnTo>
              <a:lnTo>
                <a:pt x="4262800" y="1184468"/>
              </a:lnTo>
              <a:lnTo>
                <a:pt x="4309220" y="1179555"/>
              </a:lnTo>
              <a:lnTo>
                <a:pt x="4356517" y="1174600"/>
              </a:lnTo>
              <a:lnTo>
                <a:pt x="4404484" y="1169629"/>
              </a:lnTo>
              <a:lnTo>
                <a:pt x="4452917" y="1164666"/>
              </a:lnTo>
              <a:lnTo>
                <a:pt x="4501610" y="1159736"/>
              </a:lnTo>
              <a:lnTo>
                <a:pt x="4550358" y="1154863"/>
              </a:lnTo>
              <a:lnTo>
                <a:pt x="4598957" y="1150073"/>
              </a:lnTo>
              <a:lnTo>
                <a:pt x="4647730" y="1145331"/>
              </a:lnTo>
              <a:lnTo>
                <a:pt x="4697014" y="1140598"/>
              </a:lnTo>
              <a:lnTo>
                <a:pt x="4746617" y="1135893"/>
              </a:lnTo>
              <a:lnTo>
                <a:pt x="4796348" y="1131235"/>
              </a:lnTo>
              <a:lnTo>
                <a:pt x="4846017" y="1126645"/>
              </a:lnTo>
              <a:lnTo>
                <a:pt x="4895433" y="1122140"/>
              </a:lnTo>
              <a:lnTo>
                <a:pt x="4944405" y="1117741"/>
              </a:lnTo>
              <a:lnTo>
                <a:pt x="4992741" y="1113466"/>
              </a:lnTo>
              <a:lnTo>
                <a:pt x="5047652" y="1108729"/>
              </a:lnTo>
              <a:lnTo>
                <a:pt x="5102562" y="1104123"/>
              </a:lnTo>
              <a:lnTo>
                <a:pt x="5157163" y="1099642"/>
              </a:lnTo>
              <a:lnTo>
                <a:pt x="5211142" y="1095275"/>
              </a:lnTo>
              <a:lnTo>
                <a:pt x="5264190" y="1091015"/>
              </a:lnTo>
              <a:lnTo>
                <a:pt x="5315995" y="1086853"/>
              </a:lnTo>
              <a:lnTo>
                <a:pt x="5366247" y="1082780"/>
              </a:lnTo>
              <a:lnTo>
                <a:pt x="5423318" y="1078142"/>
              </a:lnTo>
              <a:lnTo>
                <a:pt x="5479134" y="1073638"/>
              </a:lnTo>
              <a:lnTo>
                <a:pt x="5533400" y="1069270"/>
              </a:lnTo>
              <a:lnTo>
                <a:pt x="5585821" y="1065044"/>
              </a:lnTo>
              <a:lnTo>
                <a:pt x="5636101" y="1060963"/>
              </a:lnTo>
              <a:lnTo>
                <a:pt x="5683946" y="1057031"/>
              </a:lnTo>
              <a:lnTo>
                <a:pt x="5738252" y="1052494"/>
              </a:lnTo>
              <a:lnTo>
                <a:pt x="5789489" y="1048152"/>
              </a:lnTo>
              <a:lnTo>
                <a:pt x="5837637" y="1044026"/>
              </a:lnTo>
              <a:lnTo>
                <a:pt x="5882678" y="1040137"/>
              </a:lnTo>
              <a:lnTo>
                <a:pt x="5924595" y="1036507"/>
              </a:lnTo>
              <a:lnTo>
                <a:pt x="5972450" y="1032343"/>
              </a:lnTo>
              <a:lnTo>
                <a:pt x="6015342" y="1028571"/>
              </a:lnTo>
              <a:lnTo>
                <a:pt x="6053570" y="1025161"/>
              </a:lnTo>
              <a:lnTo>
                <a:pt x="6116919" y="1019292"/>
              </a:lnTo>
              <a:lnTo>
                <a:pt x="6162500" y="1014739"/>
              </a:lnTo>
              <a:lnTo>
                <a:pt x="6178814" y="1013166"/>
              </a:lnTo>
              <a:lnTo>
                <a:pt x="6190638" y="1012039"/>
              </a:lnTo>
              <a:lnTo>
                <a:pt x="6197992" y="1011336"/>
              </a:lnTo>
              <a:lnTo>
                <a:pt x="6201330" y="1011195"/>
              </a:lnTo>
              <a:lnTo>
                <a:pt x="6163996" y="1020817"/>
              </a:lnTo>
              <a:lnTo>
                <a:pt x="6104785" y="1032259"/>
              </a:lnTo>
              <a:lnTo>
                <a:pt x="6050477" y="1041730"/>
              </a:lnTo>
              <a:lnTo>
                <a:pt x="5984317" y="1052609"/>
              </a:lnTo>
              <a:lnTo>
                <a:pt x="5908648" y="1064484"/>
              </a:lnTo>
              <a:lnTo>
                <a:pt x="5867164" y="1070817"/>
              </a:lnTo>
              <a:lnTo>
                <a:pt x="5823472" y="1077353"/>
              </a:lnTo>
              <a:lnTo>
                <a:pt x="5777845" y="1084022"/>
              </a:lnTo>
              <a:lnTo>
                <a:pt x="5730131" y="1090841"/>
              </a:lnTo>
              <a:lnTo>
                <a:pt x="5680261" y="1097834"/>
              </a:lnTo>
              <a:lnTo>
                <a:pt x="5628628" y="1104947"/>
              </a:lnTo>
              <a:lnTo>
                <a:pt x="5575629" y="1112125"/>
              </a:lnTo>
              <a:lnTo>
                <a:pt x="5520831" y="1119417"/>
              </a:lnTo>
              <a:lnTo>
                <a:pt x="5464203" y="1126829"/>
              </a:lnTo>
              <a:lnTo>
                <a:pt x="5406742" y="1134249"/>
              </a:lnTo>
              <a:lnTo>
                <a:pt x="5349443" y="1141562"/>
              </a:lnTo>
              <a:lnTo>
                <a:pt x="5303574" y="1147283"/>
              </a:lnTo>
              <a:lnTo>
                <a:pt x="5257289" y="1152925"/>
              </a:lnTo>
              <a:lnTo>
                <a:pt x="5211050" y="1158540"/>
              </a:lnTo>
              <a:lnTo>
                <a:pt x="5165317" y="1164182"/>
              </a:lnTo>
              <a:lnTo>
                <a:pt x="5120550" y="1169903"/>
              </a:lnTo>
              <a:lnTo>
                <a:pt x="5065629" y="1177179"/>
              </a:lnTo>
              <a:lnTo>
                <a:pt x="5011557" y="1184535"/>
              </a:lnTo>
              <a:lnTo>
                <a:pt x="4958880" y="1191939"/>
              </a:lnTo>
              <a:lnTo>
                <a:pt x="4908144" y="1199357"/>
              </a:lnTo>
              <a:lnTo>
                <a:pt x="4859264" y="1206833"/>
              </a:lnTo>
              <a:lnTo>
                <a:pt x="4812025" y="1214366"/>
              </a:lnTo>
              <a:lnTo>
                <a:pt x="4766780" y="1221861"/>
              </a:lnTo>
              <a:lnTo>
                <a:pt x="4723883" y="1229222"/>
              </a:lnTo>
              <a:lnTo>
                <a:pt x="4683255" y="1236489"/>
              </a:lnTo>
              <a:lnTo>
                <a:pt x="4644767" y="1243690"/>
              </a:lnTo>
              <a:lnTo>
                <a:pt x="4575294" y="1257455"/>
              </a:lnTo>
              <a:lnTo>
                <a:pt x="4516812" y="1270104"/>
              </a:lnTo>
              <a:lnTo>
                <a:pt x="4468180" y="1281692"/>
              </a:lnTo>
              <a:lnTo>
                <a:pt x="4429248" y="1292091"/>
              </a:lnTo>
              <a:lnTo>
                <a:pt x="4385359" y="1305683"/>
              </a:lnTo>
              <a:lnTo>
                <a:pt x="4348721" y="1320940"/>
              </a:lnTo>
              <a:lnTo>
                <a:pt x="4327131" y="1339538"/>
              </a:lnTo>
              <a:lnTo>
                <a:pt x="4325113" y="1342683"/>
              </a:lnTo>
              <a:lnTo>
                <a:pt x="4323095" y="1345829"/>
              </a:lnTo>
              <a:lnTo>
                <a:pt x="4322538" y="1348054"/>
              </a:lnTo>
              <a:lnTo>
                <a:pt x="4322149" y="1350382"/>
              </a:lnTo>
              <a:lnTo>
                <a:pt x="4321760" y="1352711"/>
              </a:lnTo>
              <a:lnTo>
                <a:pt x="4322557" y="1354861"/>
              </a:lnTo>
              <a:lnTo>
                <a:pt x="4322778" y="1356655"/>
              </a:lnTo>
              <a:lnTo>
                <a:pt x="4322999" y="1358450"/>
              </a:lnTo>
              <a:lnTo>
                <a:pt x="4324879" y="1359656"/>
              </a:lnTo>
              <a:lnTo>
                <a:pt x="4323476" y="1361148"/>
              </a:lnTo>
              <a:lnTo>
                <a:pt x="4322074" y="1362640"/>
              </a:lnTo>
              <a:lnTo>
                <a:pt x="4321203" y="1363981"/>
              </a:lnTo>
              <a:lnTo>
                <a:pt x="4314366" y="1365608"/>
              </a:lnTo>
              <a:lnTo>
                <a:pt x="4270414" y="1372419"/>
              </a:lnTo>
              <a:lnTo>
                <a:pt x="4223486" y="1377359"/>
              </a:lnTo>
              <a:lnTo>
                <a:pt x="4180499" y="1381107"/>
              </a:lnTo>
              <a:lnTo>
                <a:pt x="4130227" y="1384899"/>
              </a:lnTo>
              <a:lnTo>
                <a:pt x="4074331" y="1388140"/>
              </a:lnTo>
              <a:lnTo>
                <a:pt x="4044236" y="1389786"/>
              </a:lnTo>
              <a:lnTo>
                <a:pt x="3980327" y="1393969"/>
              </a:lnTo>
              <a:lnTo>
                <a:pt x="3911335" y="1399123"/>
              </a:lnTo>
              <a:lnTo>
                <a:pt x="3840589" y="1404616"/>
              </a:lnTo>
              <a:lnTo>
                <a:pt x="3768088" y="1410447"/>
              </a:lnTo>
              <a:lnTo>
                <a:pt x="3695086" y="1416800"/>
              </a:lnTo>
              <a:lnTo>
                <a:pt x="3621581" y="1423674"/>
              </a:lnTo>
              <a:lnTo>
                <a:pt x="3549174" y="1430996"/>
              </a:lnTo>
              <a:lnTo>
                <a:pt x="3477864" y="1438767"/>
              </a:lnTo>
              <a:lnTo>
                <a:pt x="3409516" y="1447432"/>
              </a:lnTo>
              <a:lnTo>
                <a:pt x="3344131" y="1456988"/>
              </a:lnTo>
              <a:lnTo>
                <a:pt x="3283354" y="1466508"/>
              </a:lnTo>
              <a:lnTo>
                <a:pt x="3227186" y="1475990"/>
              </a:lnTo>
              <a:lnTo>
                <a:pt x="3176956" y="1485054"/>
              </a:lnTo>
              <a:lnTo>
                <a:pt x="3132664" y="1493698"/>
              </a:lnTo>
              <a:lnTo>
                <a:pt x="3094030" y="1501954"/>
              </a:lnTo>
              <a:lnTo>
                <a:pt x="3061055" y="1509823"/>
              </a:lnTo>
              <a:lnTo>
                <a:pt x="3047616" y="1512961"/>
              </a:lnTo>
              <a:lnTo>
                <a:pt x="3009974" y="1520400"/>
              </a:lnTo>
              <a:lnTo>
                <a:pt x="3010692" y="1519784"/>
              </a:lnTo>
              <a:lnTo>
                <a:pt x="3054258" y="1506866"/>
              </a:lnTo>
              <a:lnTo>
                <a:pt x="3104776" y="1493751"/>
              </a:lnTo>
              <a:lnTo>
                <a:pt x="3147139" y="1483172"/>
              </a:lnTo>
              <a:lnTo>
                <a:pt x="3196073" y="1471225"/>
              </a:lnTo>
              <a:lnTo>
                <a:pt x="3221884" y="1464916"/>
              </a:lnTo>
              <a:lnTo>
                <a:pt x="3248514" y="1458355"/>
              </a:lnTo>
              <a:lnTo>
                <a:pt x="3276168" y="1451521"/>
              </a:lnTo>
              <a:lnTo>
                <a:pt x="3304462" y="1444563"/>
              </a:lnTo>
              <a:lnTo>
                <a:pt x="3361979" y="1430710"/>
              </a:lnTo>
              <a:lnTo>
                <a:pt x="3421065" y="1416797"/>
              </a:lnTo>
              <a:lnTo>
                <a:pt x="3479193" y="1403187"/>
              </a:lnTo>
              <a:lnTo>
                <a:pt x="3536363" y="1389883"/>
              </a:lnTo>
              <a:lnTo>
                <a:pt x="3563567" y="1383558"/>
              </a:lnTo>
              <a:lnTo>
                <a:pt x="3589740" y="1377455"/>
              </a:lnTo>
              <a:lnTo>
                <a:pt x="3639322" y="1365907"/>
              </a:lnTo>
              <a:lnTo>
                <a:pt x="3683528" y="1355854"/>
              </a:lnTo>
              <a:lnTo>
                <a:pt x="3722357" y="1347299"/>
              </a:lnTo>
              <a:lnTo>
                <a:pt x="3739857" y="1343408"/>
              </a:lnTo>
              <a:lnTo>
                <a:pt x="3756273" y="1339623"/>
              </a:lnTo>
              <a:lnTo>
                <a:pt x="3771532" y="1336019"/>
              </a:lnTo>
              <a:lnTo>
                <a:pt x="3785276" y="1332829"/>
              </a:lnTo>
              <a:lnTo>
                <a:pt x="3826391" y="1326331"/>
              </a:lnTo>
              <a:lnTo>
                <a:pt x="3830541" y="1326695"/>
              </a:lnTo>
              <a:lnTo>
                <a:pt x="3795252" y="1342954"/>
              </a:lnTo>
              <a:lnTo>
                <a:pt x="3749918" y="1358257"/>
              </a:lnTo>
              <a:lnTo>
                <a:pt x="3710313" y="1370889"/>
              </a:lnTo>
              <a:lnTo>
                <a:pt x="3663876" y="1385212"/>
              </a:lnTo>
              <a:lnTo>
                <a:pt x="3611927" y="1400959"/>
              </a:lnTo>
              <a:lnTo>
                <a:pt x="3555571" y="1417873"/>
              </a:lnTo>
              <a:lnTo>
                <a:pt x="3525956" y="1426729"/>
              </a:lnTo>
              <a:lnTo>
                <a:pt x="3495949" y="1435741"/>
              </a:lnTo>
              <a:lnTo>
                <a:pt x="3465520" y="1444887"/>
              </a:lnTo>
              <a:lnTo>
                <a:pt x="3434489" y="1454213"/>
              </a:lnTo>
              <a:lnTo>
                <a:pt x="3403062" y="1463728"/>
              </a:lnTo>
              <a:lnTo>
                <a:pt x="3339444" y="1483411"/>
              </a:lnTo>
              <a:lnTo>
                <a:pt x="3274667" y="1503935"/>
              </a:lnTo>
              <a:lnTo>
                <a:pt x="3211169" y="1524755"/>
              </a:lnTo>
              <a:lnTo>
                <a:pt x="3148951" y="1545871"/>
              </a:lnTo>
              <a:lnTo>
                <a:pt x="3090673" y="1566594"/>
              </a:lnTo>
              <a:lnTo>
                <a:pt x="3036335" y="1586922"/>
              </a:lnTo>
              <a:lnTo>
                <a:pt x="2987851" y="1605617"/>
              </a:lnTo>
              <a:lnTo>
                <a:pt x="2945222" y="1622678"/>
              </a:lnTo>
              <a:lnTo>
                <a:pt x="2908739" y="1638358"/>
              </a:lnTo>
              <a:lnTo>
                <a:pt x="2865340" y="1659240"/>
              </a:lnTo>
              <a:lnTo>
                <a:pt x="2826979" y="1681759"/>
              </a:lnTo>
              <a:lnTo>
                <a:pt x="2797479" y="1708661"/>
              </a:lnTo>
              <a:lnTo>
                <a:pt x="2798166" y="1712407"/>
              </a:lnTo>
              <a:lnTo>
                <a:pt x="2841167" y="1725896"/>
              </a:lnTo>
              <a:lnTo>
                <a:pt x="2897066" y="1728611"/>
              </a:lnTo>
              <a:lnTo>
                <a:pt x="2951470" y="1729668"/>
              </a:lnTo>
              <a:lnTo>
                <a:pt x="3023219" y="1730376"/>
              </a:lnTo>
              <a:lnTo>
                <a:pt x="3065451" y="1730539"/>
              </a:lnTo>
              <a:lnTo>
                <a:pt x="3112292" y="1730520"/>
              </a:lnTo>
              <a:lnTo>
                <a:pt x="3153277" y="1730394"/>
              </a:lnTo>
              <a:lnTo>
                <a:pt x="3197302" y="1730185"/>
              </a:lnTo>
              <a:lnTo>
                <a:pt x="3244144" y="1729857"/>
              </a:lnTo>
              <a:lnTo>
                <a:pt x="3293579" y="1729371"/>
              </a:lnTo>
              <a:lnTo>
                <a:pt x="3345383" y="1728688"/>
              </a:lnTo>
              <a:lnTo>
                <a:pt x="3390643" y="1727931"/>
              </a:lnTo>
              <a:lnTo>
                <a:pt x="3438000" y="1727011"/>
              </a:lnTo>
              <a:lnTo>
                <a:pt x="3487106" y="1725972"/>
              </a:lnTo>
              <a:lnTo>
                <a:pt x="3537613" y="1724859"/>
              </a:lnTo>
              <a:lnTo>
                <a:pt x="3589172" y="1723716"/>
              </a:lnTo>
              <a:lnTo>
                <a:pt x="3641435" y="1722585"/>
              </a:lnTo>
              <a:lnTo>
                <a:pt x="3687157" y="1721651"/>
              </a:lnTo>
              <a:lnTo>
                <a:pt x="3734100" y="1720730"/>
              </a:lnTo>
              <a:lnTo>
                <a:pt x="3781928" y="1719796"/>
              </a:lnTo>
              <a:lnTo>
                <a:pt x="3830305" y="1718821"/>
              </a:lnTo>
              <a:lnTo>
                <a:pt x="3878894" y="1717779"/>
              </a:lnTo>
              <a:lnTo>
                <a:pt x="3927361" y="1716643"/>
              </a:lnTo>
              <a:lnTo>
                <a:pt x="3975368" y="1715385"/>
              </a:lnTo>
              <a:lnTo>
                <a:pt x="4023323" y="1714008"/>
              </a:lnTo>
              <a:lnTo>
                <a:pt x="4071659" y="1712536"/>
              </a:lnTo>
              <a:lnTo>
                <a:pt x="4120083" y="1710977"/>
              </a:lnTo>
              <a:lnTo>
                <a:pt x="4168298" y="1709336"/>
              </a:lnTo>
              <a:lnTo>
                <a:pt x="4216011" y="1707622"/>
              </a:lnTo>
              <a:lnTo>
                <a:pt x="4262927" y="1705841"/>
              </a:lnTo>
              <a:lnTo>
                <a:pt x="4308750" y="1704000"/>
              </a:lnTo>
              <a:lnTo>
                <a:pt x="4361280" y="1701742"/>
              </a:lnTo>
              <a:lnTo>
                <a:pt x="4413214" y="1699354"/>
              </a:lnTo>
              <a:lnTo>
                <a:pt x="4464196" y="1696871"/>
              </a:lnTo>
              <a:lnTo>
                <a:pt x="4513871" y="1694330"/>
              </a:lnTo>
              <a:lnTo>
                <a:pt x="4561882" y="1691767"/>
              </a:lnTo>
              <a:lnTo>
                <a:pt x="4607874" y="1689217"/>
              </a:lnTo>
              <a:lnTo>
                <a:pt x="4660634" y="1686115"/>
              </a:lnTo>
              <a:lnTo>
                <a:pt x="4711118" y="1682932"/>
              </a:lnTo>
              <a:lnTo>
                <a:pt x="4759147" y="1679741"/>
              </a:lnTo>
              <a:lnTo>
                <a:pt x="4804542" y="1676616"/>
              </a:lnTo>
              <a:lnTo>
                <a:pt x="4847122" y="1673629"/>
              </a:lnTo>
              <a:lnTo>
                <a:pt x="4896303" y="1670094"/>
              </a:lnTo>
              <a:lnTo>
                <a:pt x="4941203" y="1666707"/>
              </a:lnTo>
              <a:lnTo>
                <a:pt x="4982033" y="1663446"/>
              </a:lnTo>
              <a:lnTo>
                <a:pt x="5051876" y="1657204"/>
              </a:lnTo>
              <a:lnTo>
                <a:pt x="5105834" y="1651369"/>
              </a:lnTo>
              <a:lnTo>
                <a:pt x="5146932" y="1646271"/>
              </a:lnTo>
              <a:lnTo>
                <a:pt x="5185352" y="1640002"/>
              </a:lnTo>
              <a:lnTo>
                <a:pt x="5201947" y="1635452"/>
              </a:lnTo>
              <a:lnTo>
                <a:pt x="5200692" y="1634193"/>
              </a:lnTo>
              <a:lnTo>
                <a:pt x="5199437" y="1632934"/>
              </a:lnTo>
              <a:lnTo>
                <a:pt x="5191761" y="1632100"/>
              </a:lnTo>
              <a:lnTo>
                <a:pt x="5177819" y="1632446"/>
              </a:lnTo>
              <a:lnTo>
                <a:pt x="5166136" y="1632846"/>
              </a:lnTo>
              <a:lnTo>
                <a:pt x="5117036" y="1636267"/>
              </a:lnTo>
              <a:lnTo>
                <a:pt x="5073046" y="1640729"/>
              </a:lnTo>
              <a:lnTo>
                <a:pt x="5020078" y="1647082"/>
              </a:lnTo>
              <a:lnTo>
                <a:pt x="4958345" y="1655491"/>
              </a:lnTo>
              <a:lnTo>
                <a:pt x="4887479" y="1666036"/>
              </a:lnTo>
              <a:lnTo>
                <a:pt x="4848354" y="1672275"/>
              </a:lnTo>
              <a:lnTo>
                <a:pt x="4806805" y="1679141"/>
              </a:lnTo>
              <a:lnTo>
                <a:pt x="4763088" y="1686430"/>
              </a:lnTo>
              <a:lnTo>
                <a:pt x="4717459" y="1693938"/>
              </a:lnTo>
              <a:lnTo>
                <a:pt x="4669847" y="1701662"/>
              </a:lnTo>
              <a:lnTo>
                <a:pt x="4620162" y="1709694"/>
              </a:lnTo>
              <a:lnTo>
                <a:pt x="4568633" y="1717971"/>
              </a:lnTo>
              <a:lnTo>
                <a:pt x="4515492" y="1726431"/>
              </a:lnTo>
              <a:lnTo>
                <a:pt x="4471770" y="1733339"/>
              </a:lnTo>
              <a:lnTo>
                <a:pt x="4426879" y="1740397"/>
              </a:lnTo>
              <a:lnTo>
                <a:pt x="4380951" y="1747575"/>
              </a:lnTo>
              <a:lnTo>
                <a:pt x="4334116" y="1754844"/>
              </a:lnTo>
              <a:lnTo>
                <a:pt x="4286504" y="1762175"/>
              </a:lnTo>
              <a:lnTo>
                <a:pt x="4237936" y="1769609"/>
              </a:lnTo>
              <a:lnTo>
                <a:pt x="4188324" y="1777165"/>
              </a:lnTo>
              <a:lnTo>
                <a:pt x="4137940" y="1784781"/>
              </a:lnTo>
              <a:lnTo>
                <a:pt x="4087051" y="1792397"/>
              </a:lnTo>
              <a:lnTo>
                <a:pt x="4035929" y="1799949"/>
              </a:lnTo>
              <a:lnTo>
                <a:pt x="3984378" y="1807457"/>
              </a:lnTo>
              <a:lnTo>
                <a:pt x="3932218" y="1814963"/>
              </a:lnTo>
              <a:lnTo>
                <a:pt x="3879742" y="1822437"/>
              </a:lnTo>
              <a:lnTo>
                <a:pt x="3827244" y="1829851"/>
              </a:lnTo>
              <a:lnTo>
                <a:pt x="3775018" y="1837176"/>
              </a:lnTo>
              <a:lnTo>
                <a:pt x="3722765" y="1844443"/>
              </a:lnTo>
              <a:lnTo>
                <a:pt x="3670288" y="1851672"/>
              </a:lnTo>
              <a:lnTo>
                <a:pt x="3618037" y="1858815"/>
              </a:lnTo>
              <a:lnTo>
                <a:pt x="3566463" y="1865827"/>
              </a:lnTo>
              <a:lnTo>
                <a:pt x="3516016" y="1872662"/>
              </a:lnTo>
              <a:lnTo>
                <a:pt x="3466446" y="1879351"/>
              </a:lnTo>
              <a:lnTo>
                <a:pt x="3417455" y="1885924"/>
              </a:lnTo>
              <a:lnTo>
                <a:pt x="3369415" y="1892336"/>
              </a:lnTo>
              <a:lnTo>
                <a:pt x="3322700" y="1898538"/>
              </a:lnTo>
              <a:lnTo>
                <a:pt x="3277686" y="1904484"/>
              </a:lnTo>
              <a:lnTo>
                <a:pt x="3223466" y="1911562"/>
              </a:lnTo>
              <a:lnTo>
                <a:pt x="3171309" y="1918289"/>
              </a:lnTo>
              <a:lnTo>
                <a:pt x="3121825" y="1924663"/>
              </a:lnTo>
              <a:lnTo>
                <a:pt x="3075621" y="1930685"/>
              </a:lnTo>
              <a:lnTo>
                <a:pt x="3032729" y="1936293"/>
              </a:lnTo>
              <a:lnTo>
                <a:pt x="2992868" y="1941508"/>
              </a:lnTo>
              <a:lnTo>
                <a:pt x="2922798" y="1951241"/>
              </a:lnTo>
              <a:lnTo>
                <a:pt x="2865621" y="1960455"/>
              </a:lnTo>
              <a:lnTo>
                <a:pt x="2822197" y="1968720"/>
              </a:lnTo>
              <a:lnTo>
                <a:pt x="2784147" y="1978867"/>
              </a:lnTo>
              <a:lnTo>
                <a:pt x="2778509" y="1984217"/>
              </a:lnTo>
              <a:lnTo>
                <a:pt x="2781441" y="1986453"/>
              </a:lnTo>
              <a:lnTo>
                <a:pt x="2820272" y="1991691"/>
              </a:lnTo>
              <a:lnTo>
                <a:pt x="2872362" y="1993984"/>
              </a:lnTo>
              <a:lnTo>
                <a:pt x="2947153" y="1996081"/>
              </a:lnTo>
              <a:lnTo>
                <a:pt x="2993148" y="1997067"/>
              </a:lnTo>
              <a:lnTo>
                <a:pt x="3044647" y="1997984"/>
              </a:lnTo>
              <a:lnTo>
                <a:pt x="3101490" y="1998826"/>
              </a:lnTo>
              <a:lnTo>
                <a:pt x="3142407" y="1999362"/>
              </a:lnTo>
              <a:lnTo>
                <a:pt x="3185816" y="1999886"/>
              </a:lnTo>
              <a:lnTo>
                <a:pt x="3231624" y="2000378"/>
              </a:lnTo>
              <a:lnTo>
                <a:pt x="3279738" y="2000818"/>
              </a:lnTo>
              <a:lnTo>
                <a:pt x="3330065" y="2001183"/>
              </a:lnTo>
              <a:lnTo>
                <a:pt x="3382514" y="2001454"/>
              </a:lnTo>
              <a:lnTo>
                <a:pt x="3429284" y="2001630"/>
              </a:lnTo>
              <a:lnTo>
                <a:pt x="3477840" y="2001774"/>
              </a:lnTo>
              <a:lnTo>
                <a:pt x="3528062" y="2001870"/>
              </a:lnTo>
              <a:lnTo>
                <a:pt x="3579831" y="2001901"/>
              </a:lnTo>
              <a:lnTo>
                <a:pt x="3633027" y="2001849"/>
              </a:lnTo>
              <a:lnTo>
                <a:pt x="3687531" y="2001699"/>
              </a:lnTo>
              <a:lnTo>
                <a:pt x="3743224" y="2001434"/>
              </a:lnTo>
              <a:lnTo>
                <a:pt x="3793135" y="2001100"/>
              </a:lnTo>
              <a:lnTo>
                <a:pt x="3844334" y="2000682"/>
              </a:lnTo>
              <a:lnTo>
                <a:pt x="3896667" y="2000187"/>
              </a:lnTo>
              <a:lnTo>
                <a:pt x="3949980" y="1999623"/>
              </a:lnTo>
              <a:lnTo>
                <a:pt x="4004122" y="1998999"/>
              </a:lnTo>
              <a:lnTo>
                <a:pt x="4058937" y="1998324"/>
              </a:lnTo>
              <a:lnTo>
                <a:pt x="4114274" y="1997605"/>
              </a:lnTo>
              <a:lnTo>
                <a:pt x="4169979" y="1996852"/>
              </a:lnTo>
              <a:lnTo>
                <a:pt x="4219977" y="1996187"/>
              </a:lnTo>
              <a:lnTo>
                <a:pt x="4270644" y="1995541"/>
              </a:lnTo>
              <a:lnTo>
                <a:pt x="4321892" y="1994884"/>
              </a:lnTo>
              <a:lnTo>
                <a:pt x="4373633" y="1994189"/>
              </a:lnTo>
              <a:lnTo>
                <a:pt x="4425777" y="1993427"/>
              </a:lnTo>
              <a:lnTo>
                <a:pt x="4478238" y="1992570"/>
              </a:lnTo>
              <a:lnTo>
                <a:pt x="4530925" y="1991590"/>
              </a:lnTo>
              <a:lnTo>
                <a:pt x="4583752" y="1990459"/>
              </a:lnTo>
              <a:lnTo>
                <a:pt x="4636629" y="1989148"/>
              </a:lnTo>
              <a:lnTo>
                <a:pt x="4684471" y="1987830"/>
              </a:lnTo>
              <a:lnTo>
                <a:pt x="4732754" y="1986412"/>
              </a:lnTo>
              <a:lnTo>
                <a:pt x="4781367" y="1984896"/>
              </a:lnTo>
              <a:lnTo>
                <a:pt x="4830200" y="1983280"/>
              </a:lnTo>
              <a:lnTo>
                <a:pt x="4879145" y="1981563"/>
              </a:lnTo>
              <a:lnTo>
                <a:pt x="4928090" y="1979747"/>
              </a:lnTo>
              <a:lnTo>
                <a:pt x="4976928" y="1977830"/>
              </a:lnTo>
              <a:lnTo>
                <a:pt x="5025547" y="1975812"/>
              </a:lnTo>
              <a:lnTo>
                <a:pt x="5073839" y="1973693"/>
              </a:lnTo>
              <a:lnTo>
                <a:pt x="5121694" y="1971473"/>
              </a:lnTo>
              <a:lnTo>
                <a:pt x="5174669" y="1968868"/>
              </a:lnTo>
              <a:lnTo>
                <a:pt x="5227718" y="1966113"/>
              </a:lnTo>
              <a:lnTo>
                <a:pt x="5280692" y="1963219"/>
              </a:lnTo>
              <a:lnTo>
                <a:pt x="5333443" y="1960201"/>
              </a:lnTo>
              <a:lnTo>
                <a:pt x="5385820" y="1957072"/>
              </a:lnTo>
              <a:lnTo>
                <a:pt x="5437675" y="1953845"/>
              </a:lnTo>
              <a:lnTo>
                <a:pt x="5488858" y="1950535"/>
              </a:lnTo>
              <a:lnTo>
                <a:pt x="5539220" y="1947154"/>
              </a:lnTo>
              <a:lnTo>
                <a:pt x="5588612" y="1943716"/>
              </a:lnTo>
              <a:lnTo>
                <a:pt x="5643311" y="1939749"/>
              </a:lnTo>
              <a:lnTo>
                <a:pt x="5697389" y="1935648"/>
              </a:lnTo>
              <a:lnTo>
                <a:pt x="5750709" y="1931431"/>
              </a:lnTo>
              <a:lnTo>
                <a:pt x="5803133" y="1927112"/>
              </a:lnTo>
              <a:lnTo>
                <a:pt x="5854523" y="1922709"/>
              </a:lnTo>
              <a:lnTo>
                <a:pt x="5904743" y="1918238"/>
              </a:lnTo>
              <a:lnTo>
                <a:pt x="5953653" y="1913715"/>
              </a:lnTo>
              <a:lnTo>
                <a:pt x="6001118" y="1909157"/>
              </a:lnTo>
              <a:lnTo>
                <a:pt x="6053804" y="1903846"/>
              </a:lnTo>
              <a:lnTo>
                <a:pt x="6105053" y="1898392"/>
              </a:lnTo>
              <a:lnTo>
                <a:pt x="6154751" y="1892841"/>
              </a:lnTo>
              <a:lnTo>
                <a:pt x="6202783" y="1887238"/>
              </a:lnTo>
              <a:lnTo>
                <a:pt x="6249035" y="1881632"/>
              </a:lnTo>
              <a:lnTo>
                <a:pt x="6293392" y="1876067"/>
              </a:lnTo>
              <a:lnTo>
                <a:pt x="6335741" y="1870592"/>
              </a:lnTo>
              <a:lnTo>
                <a:pt x="6391659" y="1862997"/>
              </a:lnTo>
              <a:lnTo>
                <a:pt x="6443847" y="1855416"/>
              </a:lnTo>
              <a:lnTo>
                <a:pt x="6492442" y="1847908"/>
              </a:lnTo>
              <a:lnTo>
                <a:pt x="6537581" y="1840529"/>
              </a:lnTo>
              <a:lnTo>
                <a:pt x="6579399" y="1833340"/>
              </a:lnTo>
              <a:lnTo>
                <a:pt x="6626620" y="1824561"/>
              </a:lnTo>
              <a:lnTo>
                <a:pt x="6668265" y="1815982"/>
              </a:lnTo>
              <a:lnTo>
                <a:pt x="6737774" y="1799836"/>
              </a:lnTo>
              <a:lnTo>
                <a:pt x="6789746" y="1785310"/>
              </a:lnTo>
              <a:lnTo>
                <a:pt x="6826584" y="1772283"/>
              </a:lnTo>
              <a:lnTo>
                <a:pt x="6863892" y="1750769"/>
              </a:lnTo>
              <a:lnTo>
                <a:pt x="6869088" y="1744710"/>
              </a:lnTo>
              <a:lnTo>
                <a:pt x="6866222" y="1739901"/>
              </a:lnTo>
              <a:lnTo>
                <a:pt x="6828400" y="1728749"/>
              </a:lnTo>
              <a:lnTo>
                <a:pt x="6774320" y="1724128"/>
              </a:lnTo>
              <a:lnTo>
                <a:pt x="6722787" y="1722435"/>
              </a:lnTo>
              <a:lnTo>
                <a:pt x="6656911" y="1721647"/>
              </a:lnTo>
              <a:lnTo>
                <a:pt x="6618586" y="1721783"/>
              </a:lnTo>
              <a:lnTo>
                <a:pt x="6576332" y="1722532"/>
              </a:lnTo>
              <a:lnTo>
                <a:pt x="6529963" y="1723951"/>
              </a:lnTo>
              <a:lnTo>
                <a:pt x="6479654" y="1725934"/>
              </a:lnTo>
              <a:lnTo>
                <a:pt x="6425693" y="1728434"/>
              </a:lnTo>
              <a:lnTo>
                <a:pt x="6368367" y="1731401"/>
              </a:lnTo>
              <a:lnTo>
                <a:pt x="6319696" y="1734132"/>
              </a:lnTo>
              <a:lnTo>
                <a:pt x="6268377" y="1737203"/>
              </a:lnTo>
              <a:lnTo>
                <a:pt x="6215060" y="1740568"/>
              </a:lnTo>
              <a:lnTo>
                <a:pt x="6160394" y="1744185"/>
              </a:lnTo>
              <a:lnTo>
                <a:pt x="6105030" y="1748008"/>
              </a:lnTo>
              <a:lnTo>
                <a:pt x="6058196" y="1751335"/>
              </a:lnTo>
              <a:lnTo>
                <a:pt x="6010343" y="1754807"/>
              </a:lnTo>
              <a:lnTo>
                <a:pt x="5961704" y="1758444"/>
              </a:lnTo>
              <a:lnTo>
                <a:pt x="5912511" y="1762263"/>
              </a:lnTo>
              <a:lnTo>
                <a:pt x="5862997" y="1766283"/>
              </a:lnTo>
              <a:lnTo>
                <a:pt x="5813393" y="1770522"/>
              </a:lnTo>
              <a:lnTo>
                <a:pt x="5763542" y="1774983"/>
              </a:lnTo>
              <a:lnTo>
                <a:pt x="5713226" y="1779653"/>
              </a:lnTo>
              <a:lnTo>
                <a:pt x="5662589" y="1784524"/>
              </a:lnTo>
              <a:lnTo>
                <a:pt x="5611773" y="1789587"/>
              </a:lnTo>
              <a:lnTo>
                <a:pt x="5560923" y="1794836"/>
              </a:lnTo>
              <a:lnTo>
                <a:pt x="5510181" y="1800261"/>
              </a:lnTo>
              <a:lnTo>
                <a:pt x="5459313" y="1805900"/>
              </a:lnTo>
              <a:lnTo>
                <a:pt x="5408155" y="1811766"/>
              </a:lnTo>
              <a:lnTo>
                <a:pt x="5356962" y="1817817"/>
              </a:lnTo>
              <a:lnTo>
                <a:pt x="5305990" y="1824011"/>
              </a:lnTo>
              <a:lnTo>
                <a:pt x="5255492" y="1830305"/>
              </a:lnTo>
              <a:lnTo>
                <a:pt x="5205725" y="1836658"/>
              </a:lnTo>
              <a:lnTo>
                <a:pt x="5156422" y="1843120"/>
              </a:lnTo>
              <a:lnTo>
                <a:pt x="5107326" y="1849734"/>
              </a:lnTo>
              <a:lnTo>
                <a:pt x="5058706" y="1856449"/>
              </a:lnTo>
              <a:lnTo>
                <a:pt x="5010828" y="1863213"/>
              </a:lnTo>
              <a:lnTo>
                <a:pt x="4963958" y="1869973"/>
              </a:lnTo>
              <a:lnTo>
                <a:pt x="4918366" y="1876677"/>
              </a:lnTo>
              <a:lnTo>
                <a:pt x="4865095" y="1884721"/>
              </a:lnTo>
              <a:lnTo>
                <a:pt x="4813118" y="1892814"/>
              </a:lnTo>
              <a:lnTo>
                <a:pt x="4762675" y="1900875"/>
              </a:lnTo>
              <a:lnTo>
                <a:pt x="4714001" y="1908819"/>
              </a:lnTo>
              <a:lnTo>
                <a:pt x="4667337" y="1916564"/>
              </a:lnTo>
              <a:lnTo>
                <a:pt x="4611609" y="1926036"/>
              </a:lnTo>
              <a:lnTo>
                <a:pt x="4558640" y="1935326"/>
              </a:lnTo>
              <a:lnTo>
                <a:pt x="4508825" y="1944304"/>
              </a:lnTo>
              <a:lnTo>
                <a:pt x="4462561" y="1952843"/>
              </a:lnTo>
              <a:lnTo>
                <a:pt x="4419994" y="1960928"/>
              </a:lnTo>
              <a:lnTo>
                <a:pt x="4380900" y="1968620"/>
              </a:lnTo>
              <a:lnTo>
                <a:pt x="4312481" y="1982772"/>
              </a:lnTo>
              <a:lnTo>
                <a:pt x="4256904" y="1995285"/>
              </a:lnTo>
              <a:lnTo>
                <a:pt x="4213642" y="2006058"/>
              </a:lnTo>
              <a:lnTo>
                <a:pt x="4170337" y="2018907"/>
              </a:lnTo>
              <a:lnTo>
                <a:pt x="4153278" y="2025798"/>
              </a:lnTo>
              <a:lnTo>
                <a:pt x="4153476" y="2027584"/>
              </a:lnTo>
              <a:lnTo>
                <a:pt x="4160772" y="2028468"/>
              </a:lnTo>
              <a:lnTo>
                <a:pt x="4167772" y="2028917"/>
              </a:lnTo>
              <a:lnTo>
                <a:pt x="4177725" y="2028911"/>
              </a:lnTo>
              <a:lnTo>
                <a:pt x="4223666" y="2025747"/>
              </a:lnTo>
              <a:lnTo>
                <a:pt x="4267346" y="2020935"/>
              </a:lnTo>
              <a:lnTo>
                <a:pt x="4324321" y="2014166"/>
              </a:lnTo>
              <a:lnTo>
                <a:pt x="4357901" y="2009957"/>
              </a:lnTo>
              <a:lnTo>
                <a:pt x="4394590" y="2005439"/>
              </a:lnTo>
              <a:lnTo>
                <a:pt x="4434181" y="2000845"/>
              </a:lnTo>
              <a:lnTo>
                <a:pt x="4476880" y="1996184"/>
              </a:lnTo>
              <a:lnTo>
                <a:pt x="4522710" y="1991349"/>
              </a:lnTo>
              <a:lnTo>
                <a:pt x="4571190" y="1986401"/>
              </a:lnTo>
              <a:lnTo>
                <a:pt x="4621836" y="1981401"/>
              </a:lnTo>
              <a:lnTo>
                <a:pt x="4674725" y="1976376"/>
              </a:lnTo>
              <a:lnTo>
                <a:pt x="4730044" y="1971290"/>
              </a:lnTo>
              <a:lnTo>
                <a:pt x="4787485" y="1966108"/>
              </a:lnTo>
              <a:lnTo>
                <a:pt x="4846737" y="1960792"/>
              </a:lnTo>
              <a:lnTo>
                <a:pt x="4895737" y="1956413"/>
              </a:lnTo>
              <a:lnTo>
                <a:pt x="4946307" y="1951931"/>
              </a:lnTo>
              <a:lnTo>
                <a:pt x="4997929" y="1947384"/>
              </a:lnTo>
              <a:lnTo>
                <a:pt x="5050090" y="1942809"/>
              </a:lnTo>
              <a:lnTo>
                <a:pt x="5102273" y="1938245"/>
              </a:lnTo>
              <a:lnTo>
                <a:pt x="5154883" y="1933677"/>
              </a:lnTo>
              <a:lnTo>
                <a:pt x="5208263" y="1929080"/>
              </a:lnTo>
              <a:lnTo>
                <a:pt x="5261808" y="1924475"/>
              </a:lnTo>
              <a:lnTo>
                <a:pt x="5314910" y="1919882"/>
              </a:lnTo>
              <a:lnTo>
                <a:pt x="5366964" y="1915321"/>
              </a:lnTo>
              <a:lnTo>
                <a:pt x="5418283" y="1910787"/>
              </a:lnTo>
              <a:lnTo>
                <a:pt x="5469271" y="1906266"/>
              </a:lnTo>
              <a:lnTo>
                <a:pt x="5519459" y="1901767"/>
              </a:lnTo>
              <a:lnTo>
                <a:pt x="5568374" y="1897297"/>
              </a:lnTo>
              <a:lnTo>
                <a:pt x="5615546" y="1892866"/>
              </a:lnTo>
              <a:lnTo>
                <a:pt x="5672349" y="1887340"/>
              </a:lnTo>
              <a:lnTo>
                <a:pt x="5727079" y="1881839"/>
              </a:lnTo>
              <a:lnTo>
                <a:pt x="5779256" y="1876441"/>
              </a:lnTo>
              <a:lnTo>
                <a:pt x="5828403" y="1871222"/>
              </a:lnTo>
              <a:lnTo>
                <a:pt x="5874527" y="1866187"/>
              </a:lnTo>
              <a:lnTo>
                <a:pt x="5917838" y="1861299"/>
              </a:lnTo>
              <a:lnTo>
                <a:pt x="5958160" y="1856579"/>
              </a:lnTo>
              <a:lnTo>
                <a:pt x="6029271" y="1847667"/>
              </a:lnTo>
              <a:lnTo>
                <a:pt x="6087860" y="1839451"/>
              </a:lnTo>
              <a:lnTo>
                <a:pt x="6134145" y="1832320"/>
              </a:lnTo>
              <a:lnTo>
                <a:pt x="6180039" y="1823641"/>
              </a:lnTo>
              <a:lnTo>
                <a:pt x="6197918" y="1817239"/>
              </a:lnTo>
              <a:lnTo>
                <a:pt x="6193443" y="1815705"/>
              </a:lnTo>
              <a:lnTo>
                <a:pt x="6188495" y="1814722"/>
              </a:lnTo>
              <a:lnTo>
                <a:pt x="6180249" y="1814129"/>
              </a:lnTo>
              <a:lnTo>
                <a:pt x="6168537" y="1814007"/>
              </a:lnTo>
              <a:lnTo>
                <a:pt x="6153190" y="1814438"/>
              </a:lnTo>
              <a:lnTo>
                <a:pt x="6111296" y="1817095"/>
              </a:lnTo>
              <a:lnTo>
                <a:pt x="6055672" y="1821581"/>
              </a:lnTo>
              <a:lnTo>
                <a:pt x="5987303" y="1827725"/>
              </a:lnTo>
              <a:lnTo>
                <a:pt x="5948151" y="1831293"/>
              </a:lnTo>
              <a:lnTo>
                <a:pt x="5905581" y="1834956"/>
              </a:lnTo>
              <a:lnTo>
                <a:pt x="5859535" y="1838624"/>
              </a:lnTo>
              <a:lnTo>
                <a:pt x="5810069" y="1842406"/>
              </a:lnTo>
              <a:lnTo>
                <a:pt x="5757271" y="1846423"/>
              </a:lnTo>
              <a:lnTo>
                <a:pt x="5701230" y="1850792"/>
              </a:lnTo>
              <a:lnTo>
                <a:pt x="5653946" y="1854633"/>
              </a:lnTo>
              <a:lnTo>
                <a:pt x="5604435" y="1858745"/>
              </a:lnTo>
              <a:lnTo>
                <a:pt x="5552896" y="1863022"/>
              </a:lnTo>
              <a:lnTo>
                <a:pt x="5499526" y="1867359"/>
              </a:lnTo>
              <a:lnTo>
                <a:pt x="5444522" y="1871648"/>
              </a:lnTo>
              <a:lnTo>
                <a:pt x="5397219" y="1875188"/>
              </a:lnTo>
              <a:lnTo>
                <a:pt x="5348415" y="1878755"/>
              </a:lnTo>
              <a:lnTo>
                <a:pt x="5298386" y="1882338"/>
              </a:lnTo>
              <a:lnTo>
                <a:pt x="5247406" y="1885927"/>
              </a:lnTo>
              <a:lnTo>
                <a:pt x="5195747" y="1889513"/>
              </a:lnTo>
              <a:lnTo>
                <a:pt x="5143683" y="1893087"/>
              </a:lnTo>
              <a:lnTo>
                <a:pt x="5091084" y="1896615"/>
              </a:lnTo>
              <a:lnTo>
                <a:pt x="5037701" y="1900100"/>
              </a:lnTo>
              <a:lnTo>
                <a:pt x="4983640" y="1903582"/>
              </a:lnTo>
              <a:lnTo>
                <a:pt x="4929006" y="1907102"/>
              </a:lnTo>
              <a:lnTo>
                <a:pt x="4873904" y="1910699"/>
              </a:lnTo>
              <a:lnTo>
                <a:pt x="4818436" y="1914414"/>
              </a:lnTo>
              <a:lnTo>
                <a:pt x="4770437" y="1917723"/>
              </a:lnTo>
              <a:lnTo>
                <a:pt x="4721883" y="1921134"/>
              </a:lnTo>
              <a:lnTo>
                <a:pt x="4672933" y="1924614"/>
              </a:lnTo>
              <a:lnTo>
                <a:pt x="4623743" y="1928129"/>
              </a:lnTo>
              <a:lnTo>
                <a:pt x="4574470" y="1931643"/>
              </a:lnTo>
              <a:lnTo>
                <a:pt x="4525272" y="1935125"/>
              </a:lnTo>
              <a:lnTo>
                <a:pt x="4476307" y="1938539"/>
              </a:lnTo>
              <a:lnTo>
                <a:pt x="4427316" y="1941884"/>
              </a:lnTo>
              <a:lnTo>
                <a:pt x="4378075" y="1945190"/>
              </a:lnTo>
              <a:lnTo>
                <a:pt x="4328788" y="1948469"/>
              </a:lnTo>
              <a:lnTo>
                <a:pt x="4279660" y="1951735"/>
              </a:lnTo>
              <a:lnTo>
                <a:pt x="4230896" y="1955001"/>
              </a:lnTo>
              <a:lnTo>
                <a:pt x="4182699" y="1958279"/>
              </a:lnTo>
              <a:lnTo>
                <a:pt x="4135274" y="1961582"/>
              </a:lnTo>
              <a:lnTo>
                <a:pt x="4080523" y="1965492"/>
              </a:lnTo>
              <a:lnTo>
                <a:pt x="4026099" y="1969448"/>
              </a:lnTo>
              <a:lnTo>
                <a:pt x="3972356" y="1973415"/>
              </a:lnTo>
              <a:lnTo>
                <a:pt x="3919645" y="1977358"/>
              </a:lnTo>
              <a:lnTo>
                <a:pt x="3868319" y="1981241"/>
              </a:lnTo>
              <a:lnTo>
                <a:pt x="3818729" y="1985028"/>
              </a:lnTo>
              <a:lnTo>
                <a:pt x="3761205" y="1989471"/>
              </a:lnTo>
              <a:lnTo>
                <a:pt x="3705478" y="1993843"/>
              </a:lnTo>
              <a:lnTo>
                <a:pt x="3651843" y="1998121"/>
              </a:lnTo>
              <a:lnTo>
                <a:pt x="3600596" y="2002284"/>
              </a:lnTo>
              <a:lnTo>
                <a:pt x="3552032" y="2006308"/>
              </a:lnTo>
              <a:lnTo>
                <a:pt x="3494718" y="2011183"/>
              </a:lnTo>
              <a:lnTo>
                <a:pt x="3441054" y="2015890"/>
              </a:lnTo>
              <a:lnTo>
                <a:pt x="3391744" y="2020356"/>
              </a:lnTo>
              <a:lnTo>
                <a:pt x="3347494" y="2024508"/>
              </a:lnTo>
              <a:lnTo>
                <a:pt x="3308401" y="2028334"/>
              </a:lnTo>
              <a:lnTo>
                <a:pt x="3244689" y="2035117"/>
              </a:lnTo>
              <a:lnTo>
                <a:pt x="3200551" y="2040725"/>
              </a:lnTo>
              <a:lnTo>
                <a:pt x="3170630" y="2048630"/>
              </a:lnTo>
              <a:lnTo>
                <a:pt x="3175225" y="2049987"/>
              </a:lnTo>
              <a:lnTo>
                <a:pt x="3216480" y="2052948"/>
              </a:lnTo>
              <a:lnTo>
                <a:pt x="3266632" y="2054064"/>
              </a:lnTo>
              <a:lnTo>
                <a:pt x="3333865" y="2054738"/>
              </a:lnTo>
              <a:lnTo>
                <a:pt x="3374042" y="2054897"/>
              </a:lnTo>
              <a:lnTo>
                <a:pt x="3418182" y="2054970"/>
              </a:lnTo>
              <a:lnTo>
                <a:pt x="3465865" y="2054993"/>
              </a:lnTo>
              <a:lnTo>
                <a:pt x="3517283" y="2054960"/>
              </a:lnTo>
              <a:lnTo>
                <a:pt x="3572560" y="2054857"/>
              </a:lnTo>
              <a:lnTo>
                <a:pt x="3631167" y="2054710"/>
              </a:lnTo>
              <a:lnTo>
                <a:pt x="3692577" y="2054546"/>
              </a:lnTo>
              <a:lnTo>
                <a:pt x="3743986" y="2054401"/>
              </a:lnTo>
              <a:lnTo>
                <a:pt x="3797651" y="2054234"/>
              </a:lnTo>
              <a:lnTo>
                <a:pt x="3853048" y="2054052"/>
              </a:lnTo>
              <a:lnTo>
                <a:pt x="3909651" y="2053866"/>
              </a:lnTo>
              <a:lnTo>
                <a:pt x="3966937" y="2053682"/>
              </a:lnTo>
              <a:lnTo>
                <a:pt x="4015538" y="2053511"/>
              </a:lnTo>
              <a:lnTo>
                <a:pt x="4065293" y="2053314"/>
              </a:lnTo>
              <a:lnTo>
                <a:pt x="4115765" y="2053114"/>
              </a:lnTo>
              <a:lnTo>
                <a:pt x="4166516" y="2052938"/>
              </a:lnTo>
              <a:lnTo>
                <a:pt x="4217108" y="2052811"/>
              </a:lnTo>
              <a:lnTo>
                <a:pt x="4267104" y="2052757"/>
              </a:lnTo>
              <a:lnTo>
                <a:pt x="4316917" y="2052747"/>
              </a:lnTo>
              <a:lnTo>
                <a:pt x="4366979" y="2052754"/>
              </a:lnTo>
              <a:lnTo>
                <a:pt x="4416883" y="2052810"/>
              </a:lnTo>
              <a:lnTo>
                <a:pt x="4466220" y="2052945"/>
              </a:lnTo>
              <a:lnTo>
                <a:pt x="4514583" y="2053191"/>
              </a:lnTo>
              <a:lnTo>
                <a:pt x="4561563" y="2053578"/>
              </a:lnTo>
              <a:lnTo>
                <a:pt x="4616591" y="2054264"/>
              </a:lnTo>
              <a:lnTo>
                <a:pt x="4670564" y="2055154"/>
              </a:lnTo>
              <a:lnTo>
                <a:pt x="4722959" y="2056180"/>
              </a:lnTo>
              <a:lnTo>
                <a:pt x="4773257" y="2057276"/>
              </a:lnTo>
              <a:lnTo>
                <a:pt x="4820937" y="2058373"/>
              </a:lnTo>
              <a:lnTo>
                <a:pt x="4877052" y="2059755"/>
              </a:lnTo>
              <a:lnTo>
                <a:pt x="4929713" y="2061209"/>
              </a:lnTo>
              <a:lnTo>
                <a:pt x="4978637" y="2062737"/>
              </a:lnTo>
              <a:lnTo>
                <a:pt x="5023539" y="2064340"/>
              </a:lnTo>
              <a:lnTo>
                <a:pt x="5064459" y="2065985"/>
              </a:lnTo>
              <a:lnTo>
                <a:pt x="5134518" y="2069497"/>
              </a:lnTo>
              <a:lnTo>
                <a:pt x="5188095" y="2073691"/>
              </a:lnTo>
              <a:lnTo>
                <a:pt x="5236563" y="2081276"/>
              </a:lnTo>
              <a:lnTo>
                <a:pt x="5246024" y="2087067"/>
              </a:lnTo>
              <a:lnTo>
                <a:pt x="5243009" y="2090301"/>
              </a:lnTo>
              <a:lnTo>
                <a:pt x="5194336" y="2102510"/>
              </a:lnTo>
              <a:lnTo>
                <a:pt x="5129137" y="2112376"/>
              </a:lnTo>
              <a:lnTo>
                <a:pt x="5085697" y="2117776"/>
              </a:lnTo>
              <a:lnTo>
                <a:pt x="5035197" y="2123510"/>
              </a:lnTo>
              <a:lnTo>
                <a:pt x="4978394" y="2129439"/>
              </a:lnTo>
              <a:lnTo>
                <a:pt x="4916043" y="2135424"/>
              </a:lnTo>
              <a:lnTo>
                <a:pt x="4871042" y="2139444"/>
              </a:lnTo>
              <a:lnTo>
                <a:pt x="4822908" y="2143533"/>
              </a:lnTo>
              <a:lnTo>
                <a:pt x="4772195" y="2147668"/>
              </a:lnTo>
              <a:lnTo>
                <a:pt x="4719462" y="2151824"/>
              </a:lnTo>
              <a:lnTo>
                <a:pt x="4665263" y="2155976"/>
              </a:lnTo>
              <a:lnTo>
                <a:pt x="4610156" y="2160099"/>
              </a:lnTo>
              <a:lnTo>
                <a:pt x="4561828" y="2163606"/>
              </a:lnTo>
              <a:lnTo>
                <a:pt x="4511990" y="2167101"/>
              </a:lnTo>
              <a:lnTo>
                <a:pt x="4460968" y="2170591"/>
              </a:lnTo>
              <a:lnTo>
                <a:pt x="4409086" y="2174083"/>
              </a:lnTo>
              <a:lnTo>
                <a:pt x="4356668" y="2177583"/>
              </a:lnTo>
              <a:lnTo>
                <a:pt x="4304039" y="2181097"/>
              </a:lnTo>
              <a:lnTo>
                <a:pt x="4251524" y="2184634"/>
              </a:lnTo>
              <a:lnTo>
                <a:pt x="4198756" y="2188186"/>
              </a:lnTo>
              <a:lnTo>
                <a:pt x="4145328" y="2191749"/>
              </a:lnTo>
              <a:lnTo>
                <a:pt x="4091495" y="2195323"/>
              </a:lnTo>
              <a:lnTo>
                <a:pt x="4037514" y="2198912"/>
              </a:lnTo>
              <a:lnTo>
                <a:pt x="3983640" y="2202517"/>
              </a:lnTo>
              <a:lnTo>
                <a:pt x="3930130" y="2206141"/>
              </a:lnTo>
              <a:lnTo>
                <a:pt x="3877242" y="2209787"/>
              </a:lnTo>
              <a:lnTo>
                <a:pt x="3824695" y="2213467"/>
              </a:lnTo>
              <a:lnTo>
                <a:pt x="3772170" y="2217185"/>
              </a:lnTo>
              <a:lnTo>
                <a:pt x="3719860" y="2220926"/>
              </a:lnTo>
              <a:lnTo>
                <a:pt x="3667957" y="2224676"/>
              </a:lnTo>
              <a:lnTo>
                <a:pt x="3616655" y="2228420"/>
              </a:lnTo>
              <a:lnTo>
                <a:pt x="3566145" y="2232144"/>
              </a:lnTo>
              <a:lnTo>
                <a:pt x="3516622" y="2235834"/>
              </a:lnTo>
              <a:lnTo>
                <a:pt x="3459784" y="2240111"/>
              </a:lnTo>
              <a:lnTo>
                <a:pt x="3403689" y="2244377"/>
              </a:lnTo>
              <a:lnTo>
                <a:pt x="3348587" y="2248623"/>
              </a:lnTo>
              <a:lnTo>
                <a:pt x="3294726" y="2252838"/>
              </a:lnTo>
              <a:lnTo>
                <a:pt x="3242355" y="2257013"/>
              </a:lnTo>
              <a:lnTo>
                <a:pt x="3191723" y="2261139"/>
              </a:lnTo>
              <a:lnTo>
                <a:pt x="3133001" y="2266056"/>
              </a:lnTo>
              <a:lnTo>
                <a:pt x="3076246" y="2270943"/>
              </a:lnTo>
              <a:lnTo>
                <a:pt x="3021727" y="2275759"/>
              </a:lnTo>
              <a:lnTo>
                <a:pt x="2969711" y="2280463"/>
              </a:lnTo>
              <a:lnTo>
                <a:pt x="2920467" y="2285013"/>
              </a:lnTo>
              <a:lnTo>
                <a:pt x="2862758" y="2290534"/>
              </a:lnTo>
              <a:lnTo>
                <a:pt x="2809085" y="2295888"/>
              </a:lnTo>
              <a:lnTo>
                <a:pt x="2759496" y="2300985"/>
              </a:lnTo>
              <a:lnTo>
                <a:pt x="2714043" y="2305732"/>
              </a:lnTo>
              <a:lnTo>
                <a:pt x="2672677" y="2310117"/>
              </a:lnTo>
              <a:lnTo>
                <a:pt x="2602301" y="2317932"/>
              </a:lnTo>
              <a:lnTo>
                <a:pt x="2549117" y="2324461"/>
              </a:lnTo>
              <a:lnTo>
                <a:pt x="2501148" y="2331766"/>
              </a:lnTo>
              <a:lnTo>
                <a:pt x="2485818" y="2335607"/>
              </a:lnTo>
              <a:lnTo>
                <a:pt x="2493010" y="2336187"/>
              </a:lnTo>
              <a:lnTo>
                <a:pt x="2500288" y="2336424"/>
              </a:lnTo>
              <a:lnTo>
                <a:pt x="2511299" y="2336308"/>
              </a:lnTo>
              <a:lnTo>
                <a:pt x="2525987" y="2335894"/>
              </a:lnTo>
              <a:lnTo>
                <a:pt x="2544299" y="2335240"/>
              </a:lnTo>
              <a:lnTo>
                <a:pt x="2566320" y="2334287"/>
              </a:lnTo>
              <a:lnTo>
                <a:pt x="2592046" y="2333029"/>
              </a:lnTo>
              <a:lnTo>
                <a:pt x="2621288" y="2331604"/>
              </a:lnTo>
              <a:lnTo>
                <a:pt x="2653860" y="2330150"/>
              </a:lnTo>
              <a:lnTo>
                <a:pt x="2689652" y="2328726"/>
              </a:lnTo>
              <a:lnTo>
                <a:pt x="2728783" y="2327250"/>
              </a:lnTo>
              <a:lnTo>
                <a:pt x="2771411" y="2325651"/>
              </a:lnTo>
              <a:lnTo>
                <a:pt x="2817694" y="2323853"/>
              </a:lnTo>
              <a:lnTo>
                <a:pt x="2867886" y="2321853"/>
              </a:lnTo>
              <a:lnTo>
                <a:pt x="2921832" y="2319685"/>
              </a:lnTo>
              <a:lnTo>
                <a:pt x="2979076" y="2317333"/>
              </a:lnTo>
              <a:lnTo>
                <a:pt x="3039161" y="2314784"/>
              </a:lnTo>
              <a:lnTo>
                <a:pt x="3089462" y="2312542"/>
              </a:lnTo>
              <a:lnTo>
                <a:pt x="3141938" y="2310119"/>
              </a:lnTo>
              <a:lnTo>
                <a:pt x="3196201" y="2307602"/>
              </a:lnTo>
              <a:lnTo>
                <a:pt x="3251859" y="2305077"/>
              </a:lnTo>
              <a:lnTo>
                <a:pt x="3308523" y="2302630"/>
              </a:lnTo>
              <a:lnTo>
                <a:pt x="3356650" y="2300654"/>
              </a:lnTo>
              <a:lnTo>
                <a:pt x="3405842" y="2298692"/>
              </a:lnTo>
              <a:lnTo>
                <a:pt x="3455914" y="2296744"/>
              </a:lnTo>
              <a:lnTo>
                <a:pt x="3506678" y="2294811"/>
              </a:lnTo>
              <a:lnTo>
                <a:pt x="3557945" y="2292896"/>
              </a:lnTo>
              <a:lnTo>
                <a:pt x="3609528" y="2291000"/>
              </a:lnTo>
              <a:lnTo>
                <a:pt x="3661723" y="2289104"/>
              </a:lnTo>
              <a:lnTo>
                <a:pt x="3714738" y="2287203"/>
              </a:lnTo>
              <a:lnTo>
                <a:pt x="3768257" y="2285319"/>
              </a:lnTo>
              <a:lnTo>
                <a:pt x="3821963" y="2283475"/>
              </a:lnTo>
              <a:lnTo>
                <a:pt x="3875540" y="2281691"/>
              </a:lnTo>
              <a:lnTo>
                <a:pt x="3928670" y="2279989"/>
              </a:lnTo>
              <a:lnTo>
                <a:pt x="3981736" y="2278380"/>
              </a:lnTo>
              <a:lnTo>
                <a:pt x="4035067" y="2276848"/>
              </a:lnTo>
              <a:lnTo>
                <a:pt x="4088269" y="2275377"/>
              </a:lnTo>
              <a:lnTo>
                <a:pt x="4140946" y="2273949"/>
              </a:lnTo>
              <a:lnTo>
                <a:pt x="4192703" y="2272549"/>
              </a:lnTo>
              <a:lnTo>
                <a:pt x="4243146" y="2271159"/>
              </a:lnTo>
              <a:lnTo>
                <a:pt x="4292496" y="2269791"/>
              </a:lnTo>
              <a:lnTo>
                <a:pt x="4341114" y="2268460"/>
              </a:lnTo>
              <a:lnTo>
                <a:pt x="4388812" y="2267156"/>
              </a:lnTo>
              <a:lnTo>
                <a:pt x="4435403" y="2265869"/>
              </a:lnTo>
              <a:lnTo>
                <a:pt x="4480702" y="2264587"/>
              </a:lnTo>
              <a:lnTo>
                <a:pt x="4524520" y="2263301"/>
              </a:lnTo>
              <a:lnTo>
                <a:pt x="4575370" y="2261734"/>
              </a:lnTo>
              <a:lnTo>
                <a:pt x="4624521" y="2260156"/>
              </a:lnTo>
              <a:lnTo>
                <a:pt x="4671728" y="2258596"/>
              </a:lnTo>
              <a:lnTo>
                <a:pt x="4716748" y="2257083"/>
              </a:lnTo>
              <a:lnTo>
                <a:pt x="4759337" y="2255644"/>
              </a:lnTo>
              <a:lnTo>
                <a:pt x="4809149" y="2253979"/>
              </a:lnTo>
              <a:lnTo>
                <a:pt x="4855396" y="2252421"/>
              </a:lnTo>
              <a:lnTo>
                <a:pt x="4898139" y="2250911"/>
              </a:lnTo>
              <a:lnTo>
                <a:pt x="4937441" y="2249390"/>
              </a:lnTo>
              <a:lnTo>
                <a:pt x="5005496" y="2246257"/>
              </a:lnTo>
              <a:lnTo>
                <a:pt x="5060152" y="2243280"/>
              </a:lnTo>
              <a:lnTo>
                <a:pt x="5102130" y="2240523"/>
              </a:lnTo>
              <a:lnTo>
                <a:pt x="5140838" y="2237456"/>
              </a:lnTo>
              <a:lnTo>
                <a:pt x="5150533" y="2236373"/>
              </a:lnTo>
              <a:lnTo>
                <a:pt x="5149435" y="2236308"/>
              </a:lnTo>
              <a:lnTo>
                <a:pt x="5144523" y="2236682"/>
              </a:lnTo>
              <a:lnTo>
                <a:pt x="5135918" y="2237422"/>
              </a:lnTo>
              <a:lnTo>
                <a:pt x="5122806" y="2238383"/>
              </a:lnTo>
              <a:lnTo>
                <a:pt x="5104375" y="2239423"/>
              </a:lnTo>
              <a:lnTo>
                <a:pt x="5080596" y="2240484"/>
              </a:lnTo>
              <a:lnTo>
                <a:pt x="5051842" y="2241651"/>
              </a:lnTo>
              <a:lnTo>
                <a:pt x="5017893" y="2242985"/>
              </a:lnTo>
              <a:lnTo>
                <a:pt x="4978531" y="2244552"/>
              </a:lnTo>
              <a:lnTo>
                <a:pt x="4933508" y="2246435"/>
              </a:lnTo>
              <a:lnTo>
                <a:pt x="4883005" y="2248578"/>
              </a:lnTo>
              <a:lnTo>
                <a:pt x="4827441" y="2250834"/>
              </a:lnTo>
              <a:lnTo>
                <a:pt x="4767236" y="2253057"/>
              </a:lnTo>
              <a:lnTo>
                <a:pt x="4724493" y="2254516"/>
              </a:lnTo>
              <a:lnTo>
                <a:pt x="4679517" y="2256005"/>
              </a:lnTo>
              <a:lnTo>
                <a:pt x="4632416" y="2257500"/>
              </a:lnTo>
              <a:lnTo>
                <a:pt x="4583298" y="2258980"/>
              </a:lnTo>
              <a:lnTo>
                <a:pt x="4532271" y="2260422"/>
              </a:lnTo>
              <a:lnTo>
                <a:pt x="4479441" y="2261804"/>
              </a:lnTo>
              <a:lnTo>
                <a:pt x="4432552" y="2262932"/>
              </a:lnTo>
              <a:lnTo>
                <a:pt x="4384040" y="2264021"/>
              </a:lnTo>
              <a:lnTo>
                <a:pt x="4334070" y="2265079"/>
              </a:lnTo>
              <a:lnTo>
                <a:pt x="4282807" y="2266115"/>
              </a:lnTo>
              <a:lnTo>
                <a:pt x="4230415" y="2267138"/>
              </a:lnTo>
              <a:lnTo>
                <a:pt x="4177059" y="2268158"/>
              </a:lnTo>
              <a:lnTo>
                <a:pt x="4122903" y="2269184"/>
              </a:lnTo>
              <a:lnTo>
                <a:pt x="4074691" y="2270092"/>
              </a:lnTo>
              <a:lnTo>
                <a:pt x="4025508" y="2271004"/>
              </a:lnTo>
              <a:lnTo>
                <a:pt x="3975469" y="2271916"/>
              </a:lnTo>
              <a:lnTo>
                <a:pt x="3924687" y="2272820"/>
              </a:lnTo>
              <a:lnTo>
                <a:pt x="3873278" y="2273712"/>
              </a:lnTo>
              <a:lnTo>
                <a:pt x="3821355" y="2274584"/>
              </a:lnTo>
              <a:lnTo>
                <a:pt x="3769033" y="2275431"/>
              </a:lnTo>
              <a:lnTo>
                <a:pt x="3716426" y="2276247"/>
              </a:lnTo>
              <a:lnTo>
                <a:pt x="3669231" y="2276949"/>
              </a:lnTo>
              <a:lnTo>
                <a:pt x="3621430" y="2277638"/>
              </a:lnTo>
              <a:lnTo>
                <a:pt x="3573139" y="2278310"/>
              </a:lnTo>
              <a:lnTo>
                <a:pt x="3524473" y="2278966"/>
              </a:lnTo>
              <a:lnTo>
                <a:pt x="3475546" y="2279603"/>
              </a:lnTo>
              <a:lnTo>
                <a:pt x="3426472" y="2280222"/>
              </a:lnTo>
              <a:lnTo>
                <a:pt x="3377368" y="2280820"/>
              </a:lnTo>
              <a:lnTo>
                <a:pt x="3328347" y="2281397"/>
              </a:lnTo>
              <a:lnTo>
                <a:pt x="3279524" y="2281951"/>
              </a:lnTo>
              <a:lnTo>
                <a:pt x="3230629" y="2282464"/>
              </a:lnTo>
              <a:lnTo>
                <a:pt x="3181411" y="2282930"/>
              </a:lnTo>
              <a:lnTo>
                <a:pt x="3132015" y="2283361"/>
              </a:lnTo>
              <a:lnTo>
                <a:pt x="3082589" y="2283771"/>
              </a:lnTo>
              <a:lnTo>
                <a:pt x="3033277" y="2284175"/>
              </a:lnTo>
              <a:lnTo>
                <a:pt x="2984225" y="2284587"/>
              </a:lnTo>
              <a:lnTo>
                <a:pt x="2935580" y="2285020"/>
              </a:lnTo>
              <a:lnTo>
                <a:pt x="2887487" y="2285488"/>
              </a:lnTo>
              <a:lnTo>
                <a:pt x="2840093" y="2286005"/>
              </a:lnTo>
              <a:lnTo>
                <a:pt x="2787218" y="2286624"/>
              </a:lnTo>
              <a:lnTo>
                <a:pt x="2734486" y="2287255"/>
              </a:lnTo>
              <a:lnTo>
                <a:pt x="2682120" y="2287909"/>
              </a:lnTo>
              <a:lnTo>
                <a:pt x="2630343" y="2288592"/>
              </a:lnTo>
              <a:lnTo>
                <a:pt x="2579377" y="2289313"/>
              </a:lnTo>
              <a:lnTo>
                <a:pt x="2529446" y="2290080"/>
              </a:lnTo>
              <a:lnTo>
                <a:pt x="2480772" y="2290902"/>
              </a:lnTo>
              <a:lnTo>
                <a:pt x="2433580" y="2291785"/>
              </a:lnTo>
              <a:lnTo>
                <a:pt x="2381155" y="2292878"/>
              </a:lnTo>
              <a:lnTo>
                <a:pt x="2329984" y="2294052"/>
              </a:lnTo>
              <a:lnTo>
                <a:pt x="2280213" y="2295294"/>
              </a:lnTo>
              <a:lnTo>
                <a:pt x="2231987" y="2296591"/>
              </a:lnTo>
              <a:lnTo>
                <a:pt x="2185454" y="2297930"/>
              </a:lnTo>
              <a:lnTo>
                <a:pt x="2140758" y="2299300"/>
              </a:lnTo>
              <a:lnTo>
                <a:pt x="2098046" y="2300686"/>
              </a:lnTo>
              <a:lnTo>
                <a:pt x="2041513" y="2302709"/>
              </a:lnTo>
              <a:lnTo>
                <a:pt x="1988539" y="2304840"/>
              </a:lnTo>
              <a:lnTo>
                <a:pt x="1939045" y="2307017"/>
              </a:lnTo>
              <a:lnTo>
                <a:pt x="1892952" y="2309176"/>
              </a:lnTo>
              <a:lnTo>
                <a:pt x="1850180" y="2311254"/>
              </a:lnTo>
              <a:lnTo>
                <a:pt x="1801731" y="2313735"/>
              </a:lnTo>
              <a:lnTo>
                <a:pt x="1758777" y="2316148"/>
              </a:lnTo>
              <a:lnTo>
                <a:pt x="1720647" y="2318516"/>
              </a:lnTo>
              <a:lnTo>
                <a:pt x="1656977" y="2323138"/>
              </a:lnTo>
              <a:lnTo>
                <a:pt x="1610720" y="2327602"/>
              </a:lnTo>
              <a:lnTo>
                <a:pt x="1568633" y="2335224"/>
              </a:lnTo>
              <a:lnTo>
                <a:pt x="1558572" y="2340525"/>
              </a:lnTo>
              <a:lnTo>
                <a:pt x="1558666" y="2343022"/>
              </a:lnTo>
              <a:lnTo>
                <a:pt x="1613071" y="2353955"/>
              </a:lnTo>
              <a:lnTo>
                <a:pt x="1662509" y="2357342"/>
              </a:lnTo>
              <a:lnTo>
                <a:pt x="1730489" y="2359917"/>
              </a:lnTo>
              <a:lnTo>
                <a:pt x="1771826" y="2361070"/>
              </a:lnTo>
              <a:lnTo>
                <a:pt x="1819035" y="2362356"/>
              </a:lnTo>
              <a:lnTo>
                <a:pt x="1861215" y="2363533"/>
              </a:lnTo>
              <a:lnTo>
                <a:pt x="1907065" y="2364785"/>
              </a:lnTo>
              <a:lnTo>
                <a:pt x="1956483" y="2366074"/>
              </a:lnTo>
              <a:lnTo>
                <a:pt x="2009365" y="2367357"/>
              </a:lnTo>
              <a:lnTo>
                <a:pt x="2065610" y="2368597"/>
              </a:lnTo>
              <a:lnTo>
                <a:pt x="2107898" y="2369458"/>
              </a:lnTo>
              <a:lnTo>
                <a:pt x="2152018" y="2370320"/>
              </a:lnTo>
              <a:lnTo>
                <a:pt x="2197908" y="2371175"/>
              </a:lnTo>
              <a:lnTo>
                <a:pt x="2245508" y="2372016"/>
              </a:lnTo>
              <a:lnTo>
                <a:pt x="2294757" y="2372836"/>
              </a:lnTo>
              <a:lnTo>
                <a:pt x="2345592" y="2373630"/>
              </a:lnTo>
              <a:lnTo>
                <a:pt x="2397954" y="2374390"/>
              </a:lnTo>
              <a:lnTo>
                <a:pt x="2445239" y="2375031"/>
              </a:lnTo>
              <a:lnTo>
                <a:pt x="2494047" y="2375654"/>
              </a:lnTo>
              <a:lnTo>
                <a:pt x="2544202" y="2376259"/>
              </a:lnTo>
              <a:lnTo>
                <a:pt x="2595530" y="2376845"/>
              </a:lnTo>
              <a:lnTo>
                <a:pt x="2647856" y="2377410"/>
              </a:lnTo>
              <a:lnTo>
                <a:pt x="2701004" y="2377955"/>
              </a:lnTo>
              <a:lnTo>
                <a:pt x="2754800" y="2378477"/>
              </a:lnTo>
              <a:lnTo>
                <a:pt x="2809068" y="2378975"/>
              </a:lnTo>
              <a:lnTo>
                <a:pt x="2857895" y="2379398"/>
              </a:lnTo>
              <a:lnTo>
                <a:pt x="2907516" y="2379803"/>
              </a:lnTo>
              <a:lnTo>
                <a:pt x="2957837" y="2380191"/>
              </a:lnTo>
              <a:lnTo>
                <a:pt x="3008762" y="2380561"/>
              </a:lnTo>
              <a:lnTo>
                <a:pt x="3060195" y="2380915"/>
              </a:lnTo>
              <a:lnTo>
                <a:pt x="3112041" y="2381252"/>
              </a:lnTo>
              <a:lnTo>
                <a:pt x="3164204" y="2381575"/>
              </a:lnTo>
              <a:lnTo>
                <a:pt x="3216588" y="2381883"/>
              </a:lnTo>
              <a:lnTo>
                <a:pt x="3269098" y="2382177"/>
              </a:lnTo>
              <a:lnTo>
                <a:pt x="3316665" y="2382435"/>
              </a:lnTo>
              <a:lnTo>
                <a:pt x="3364726" y="2382690"/>
              </a:lnTo>
              <a:lnTo>
                <a:pt x="3413178" y="2382938"/>
              </a:lnTo>
              <a:lnTo>
                <a:pt x="3461921" y="2383175"/>
              </a:lnTo>
              <a:lnTo>
                <a:pt x="3510853" y="2383397"/>
              </a:lnTo>
              <a:lnTo>
                <a:pt x="3559873" y="2383600"/>
              </a:lnTo>
              <a:lnTo>
                <a:pt x="3608879" y="2383780"/>
              </a:lnTo>
              <a:lnTo>
                <a:pt x="3657770" y="2383933"/>
              </a:lnTo>
              <a:lnTo>
                <a:pt x="3706444" y="2384055"/>
              </a:lnTo>
              <a:lnTo>
                <a:pt x="3754800" y="2384142"/>
              </a:lnTo>
              <a:lnTo>
                <a:pt x="3808456" y="2384221"/>
              </a:lnTo>
              <a:lnTo>
                <a:pt x="3862299" y="2384296"/>
              </a:lnTo>
              <a:lnTo>
                <a:pt x="3916186" y="2384354"/>
              </a:lnTo>
              <a:lnTo>
                <a:pt x="3969972" y="2384380"/>
              </a:lnTo>
              <a:lnTo>
                <a:pt x="4023514" y="2384360"/>
              </a:lnTo>
              <a:lnTo>
                <a:pt x="4076668" y="2384280"/>
              </a:lnTo>
              <a:lnTo>
                <a:pt x="4129289" y="2384125"/>
              </a:lnTo>
              <a:lnTo>
                <a:pt x="4181234" y="2383882"/>
              </a:lnTo>
              <a:lnTo>
                <a:pt x="4232359" y="2383535"/>
              </a:lnTo>
              <a:lnTo>
                <a:pt x="4282913" y="2383089"/>
              </a:lnTo>
              <a:lnTo>
                <a:pt x="4333165" y="2382562"/>
              </a:lnTo>
              <a:lnTo>
                <a:pt x="4383000" y="2381956"/>
              </a:lnTo>
              <a:lnTo>
                <a:pt x="4432303" y="2381275"/>
              </a:lnTo>
              <a:lnTo>
                <a:pt x="4480959" y="2380524"/>
              </a:lnTo>
              <a:lnTo>
                <a:pt x="4528851" y="2379705"/>
              </a:lnTo>
              <a:lnTo>
                <a:pt x="4575866" y="2378823"/>
              </a:lnTo>
              <a:lnTo>
                <a:pt x="4621888" y="2377882"/>
              </a:lnTo>
              <a:lnTo>
                <a:pt x="4666802" y="2376885"/>
              </a:lnTo>
              <a:lnTo>
                <a:pt x="4723191" y="2375504"/>
              </a:lnTo>
              <a:lnTo>
                <a:pt x="4778303" y="2374004"/>
              </a:lnTo>
              <a:lnTo>
                <a:pt x="4832007" y="2372394"/>
              </a:lnTo>
              <a:lnTo>
                <a:pt x="4884173" y="2370688"/>
              </a:lnTo>
              <a:lnTo>
                <a:pt x="4934672" y="2368896"/>
              </a:lnTo>
              <a:lnTo>
                <a:pt x="4983372" y="2367031"/>
              </a:lnTo>
              <a:lnTo>
                <a:pt x="5030145" y="2365104"/>
              </a:lnTo>
              <a:lnTo>
                <a:pt x="5092485" y="2362270"/>
              </a:lnTo>
              <a:lnTo>
                <a:pt x="5151376" y="2359263"/>
              </a:lnTo>
              <a:lnTo>
                <a:pt x="5206833" y="2356115"/>
              </a:lnTo>
              <a:lnTo>
                <a:pt x="5258873" y="2352857"/>
              </a:lnTo>
              <a:lnTo>
                <a:pt x="5307514" y="2349519"/>
              </a:lnTo>
              <a:lnTo>
                <a:pt x="5363259" y="2345171"/>
              </a:lnTo>
              <a:lnTo>
                <a:pt x="5413494" y="2340624"/>
              </a:lnTo>
              <a:lnTo>
                <a:pt x="5458761" y="2336006"/>
              </a:lnTo>
              <a:lnTo>
                <a:pt x="5499605" y="2331443"/>
              </a:lnTo>
              <a:lnTo>
                <a:pt x="5566980" y="2322401"/>
              </a:lnTo>
              <a:lnTo>
                <a:pt x="5618025" y="2313574"/>
              </a:lnTo>
              <a:lnTo>
                <a:pt x="5655554" y="2304982"/>
              </a:lnTo>
              <a:lnTo>
                <a:pt x="5691245" y="2290623"/>
              </a:lnTo>
              <a:lnTo>
                <a:pt x="5692075" y="2287942"/>
              </a:lnTo>
              <a:lnTo>
                <a:pt x="5689030" y="2286037"/>
              </a:lnTo>
              <a:lnTo>
                <a:pt x="5682204" y="2284966"/>
              </a:lnTo>
              <a:lnTo>
                <a:pt x="5671736" y="2284590"/>
              </a:lnTo>
              <a:lnTo>
                <a:pt x="5657306" y="2284880"/>
              </a:lnTo>
              <a:lnTo>
                <a:pt x="5615590" y="2287424"/>
              </a:lnTo>
              <a:lnTo>
                <a:pt x="5557054" y="2292597"/>
              </a:lnTo>
              <a:lnTo>
                <a:pt x="5481232" y="2299898"/>
              </a:lnTo>
              <a:lnTo>
                <a:pt x="5436754" y="2304416"/>
              </a:lnTo>
              <a:lnTo>
                <a:pt x="5388123" y="2309327"/>
              </a:lnTo>
              <a:lnTo>
                <a:pt x="5335541" y="2314441"/>
              </a:lnTo>
              <a:lnTo>
                <a:pt x="5290246" y="2318692"/>
              </a:lnTo>
              <a:lnTo>
                <a:pt x="5241963" y="2323158"/>
              </a:lnTo>
              <a:lnTo>
                <a:pt x="5191317" y="2327771"/>
              </a:lnTo>
              <a:lnTo>
                <a:pt x="5138933" y="2332468"/>
              </a:lnTo>
              <a:lnTo>
                <a:pt x="5085434" y="2337180"/>
              </a:lnTo>
              <a:lnTo>
                <a:pt x="5039880" y="2341135"/>
              </a:lnTo>
              <a:lnTo>
                <a:pt x="4993082" y="2345154"/>
              </a:lnTo>
              <a:lnTo>
                <a:pt x="4945222" y="2349215"/>
              </a:lnTo>
              <a:lnTo>
                <a:pt x="4896480" y="2353296"/>
              </a:lnTo>
              <a:lnTo>
                <a:pt x="4847037" y="2357372"/>
              </a:lnTo>
              <a:lnTo>
                <a:pt x="4797076" y="2361423"/>
              </a:lnTo>
              <a:lnTo>
                <a:pt x="4746365" y="2365479"/>
              </a:lnTo>
              <a:lnTo>
                <a:pt x="4694713" y="2369565"/>
              </a:lnTo>
              <a:lnTo>
                <a:pt x="4642362" y="2373648"/>
              </a:lnTo>
              <a:lnTo>
                <a:pt x="4589550" y="2377693"/>
              </a:lnTo>
              <a:lnTo>
                <a:pt x="4536518" y="2381668"/>
              </a:lnTo>
              <a:lnTo>
                <a:pt x="4483505" y="2385538"/>
              </a:lnTo>
              <a:lnTo>
                <a:pt x="4430170" y="2389319"/>
              </a:lnTo>
              <a:lnTo>
                <a:pt x="4376251" y="2393039"/>
              </a:lnTo>
              <a:lnTo>
                <a:pt x="4322112" y="2396689"/>
              </a:lnTo>
              <a:lnTo>
                <a:pt x="4268116" y="2400258"/>
              </a:lnTo>
              <a:lnTo>
                <a:pt x="4214629" y="2403735"/>
              </a:lnTo>
              <a:lnTo>
                <a:pt x="4162012" y="2407108"/>
              </a:lnTo>
              <a:lnTo>
                <a:pt x="4109922" y="2410360"/>
              </a:lnTo>
              <a:lnTo>
                <a:pt x="4057999" y="2413495"/>
              </a:lnTo>
              <a:lnTo>
                <a:pt x="4006583" y="2416537"/>
              </a:lnTo>
              <a:lnTo>
                <a:pt x="3956016" y="2419512"/>
              </a:lnTo>
              <a:lnTo>
                <a:pt x="3906640" y="2422445"/>
              </a:lnTo>
              <a:lnTo>
                <a:pt x="3858795" y="2425361"/>
              </a:lnTo>
              <a:lnTo>
                <a:pt x="3803059" y="2428862"/>
              </a:lnTo>
              <a:lnTo>
                <a:pt x="3748801" y="2432335"/>
              </a:lnTo>
              <a:lnTo>
                <a:pt x="3696375" y="2435731"/>
              </a:lnTo>
              <a:lnTo>
                <a:pt x="3646135" y="2439000"/>
              </a:lnTo>
              <a:lnTo>
                <a:pt x="3598434" y="2442091"/>
              </a:lnTo>
              <a:lnTo>
                <a:pt x="3542247" y="2445682"/>
              </a:lnTo>
              <a:lnTo>
                <a:pt x="3489595" y="2449029"/>
              </a:lnTo>
              <a:lnTo>
                <a:pt x="3440669" y="2452188"/>
              </a:lnTo>
              <a:lnTo>
                <a:pt x="3395659" y="2455215"/>
              </a:lnTo>
              <a:lnTo>
                <a:pt x="3354453" y="2458134"/>
              </a:lnTo>
              <a:lnTo>
                <a:pt x="3283599" y="2463518"/>
              </a:lnTo>
              <a:lnTo>
                <a:pt x="3229767" y="2468126"/>
              </a:lnTo>
              <a:lnTo>
                <a:pt x="3181176" y="2473609"/>
              </a:lnTo>
              <a:lnTo>
                <a:pt x="3167482" y="2477224"/>
              </a:lnTo>
              <a:lnTo>
                <a:pt x="3178497" y="2478472"/>
              </a:lnTo>
              <a:lnTo>
                <a:pt x="3223633" y="2480605"/>
              </a:lnTo>
              <a:lnTo>
                <a:pt x="3275214" y="2481535"/>
              </a:lnTo>
              <a:lnTo>
                <a:pt x="3343819" y="2482113"/>
              </a:lnTo>
              <a:lnTo>
                <a:pt x="3383833" y="2482160"/>
              </a:lnTo>
              <a:lnTo>
                <a:pt x="3427969" y="2481986"/>
              </a:lnTo>
              <a:lnTo>
                <a:pt x="3476230" y="2481626"/>
              </a:lnTo>
              <a:lnTo>
                <a:pt x="3527665" y="2481152"/>
              </a:lnTo>
              <a:lnTo>
                <a:pt x="3581325" y="2480639"/>
              </a:lnTo>
              <a:lnTo>
                <a:pt x="3625896" y="2480196"/>
              </a:lnTo>
              <a:lnTo>
                <a:pt x="3672288" y="2479696"/>
              </a:lnTo>
              <a:lnTo>
                <a:pt x="3720210" y="2479162"/>
              </a:lnTo>
              <a:lnTo>
                <a:pt x="3769367" y="2478618"/>
              </a:lnTo>
              <a:lnTo>
                <a:pt x="3819468" y="2478085"/>
              </a:lnTo>
              <a:lnTo>
                <a:pt x="3870946" y="2477582"/>
              </a:lnTo>
              <a:lnTo>
                <a:pt x="3923998" y="2477095"/>
              </a:lnTo>
              <a:lnTo>
                <a:pt x="3977971" y="2476595"/>
              </a:lnTo>
              <a:lnTo>
                <a:pt x="4032214" y="2476055"/>
              </a:lnTo>
              <a:lnTo>
                <a:pt x="4086076" y="2475448"/>
              </a:lnTo>
              <a:lnTo>
                <a:pt x="4139855" y="2474781"/>
              </a:lnTo>
              <a:lnTo>
                <a:pt x="4193986" y="2474071"/>
              </a:lnTo>
              <a:lnTo>
                <a:pt x="4248020" y="2473310"/>
              </a:lnTo>
              <a:lnTo>
                <a:pt x="4301511" y="2472489"/>
              </a:lnTo>
              <a:lnTo>
                <a:pt x="4354010" y="2471599"/>
              </a:lnTo>
              <a:lnTo>
                <a:pt x="4405722" y="2470639"/>
              </a:lnTo>
              <a:lnTo>
                <a:pt x="4456948" y="2469615"/>
              </a:lnTo>
              <a:lnTo>
                <a:pt x="4507377" y="2468529"/>
              </a:lnTo>
              <a:lnTo>
                <a:pt x="4556701" y="2467382"/>
              </a:lnTo>
              <a:lnTo>
                <a:pt x="4604611" y="2466177"/>
              </a:lnTo>
              <a:lnTo>
                <a:pt x="4662649" y="2464583"/>
              </a:lnTo>
              <a:lnTo>
                <a:pt x="4718871" y="2462892"/>
              </a:lnTo>
              <a:lnTo>
                <a:pt x="4773064" y="2461116"/>
              </a:lnTo>
              <a:lnTo>
                <a:pt x="4825014" y="2459271"/>
              </a:lnTo>
              <a:lnTo>
                <a:pt x="4874716" y="2457351"/>
              </a:lnTo>
              <a:lnTo>
                <a:pt x="4922265" y="2455351"/>
              </a:lnTo>
              <a:lnTo>
                <a:pt x="4967605" y="2453288"/>
              </a:lnTo>
              <a:lnTo>
                <a:pt x="5010678" y="2451177"/>
              </a:lnTo>
              <a:lnTo>
                <a:pt x="5051422" y="2449015"/>
              </a:lnTo>
              <a:lnTo>
                <a:pt x="5089882" y="2446796"/>
              </a:lnTo>
              <a:lnTo>
                <a:pt x="5160377" y="2442245"/>
              </a:lnTo>
              <a:lnTo>
                <a:pt x="5222664" y="2437466"/>
              </a:lnTo>
              <a:lnTo>
                <a:pt x="5276369" y="2432792"/>
              </a:lnTo>
              <a:lnTo>
                <a:pt x="5320925" y="2428526"/>
              </a:lnTo>
              <a:lnTo>
                <a:pt x="5372935" y="2422979"/>
              </a:lnTo>
              <a:lnTo>
                <a:pt x="5417925" y="2417370"/>
              </a:lnTo>
              <a:lnTo>
                <a:pt x="5435051" y="2414630"/>
              </a:lnTo>
              <a:lnTo>
                <a:pt x="5438252" y="2414122"/>
              </a:lnTo>
              <a:lnTo>
                <a:pt x="5439694" y="2414337"/>
              </a:lnTo>
              <a:lnTo>
                <a:pt x="5428027" y="2415578"/>
              </a:lnTo>
              <a:lnTo>
                <a:pt x="5418180" y="2416698"/>
              </a:lnTo>
              <a:lnTo>
                <a:pt x="5365051" y="2422079"/>
              </a:lnTo>
              <a:lnTo>
                <a:pt x="5303258" y="2427041"/>
              </a:lnTo>
              <a:lnTo>
                <a:pt x="5264103" y="2430031"/>
              </a:lnTo>
              <a:lnTo>
                <a:pt x="5218350" y="2433491"/>
              </a:lnTo>
              <a:lnTo>
                <a:pt x="5176730" y="2436667"/>
              </a:lnTo>
              <a:lnTo>
                <a:pt x="5130926" y="2440177"/>
              </a:lnTo>
              <a:lnTo>
                <a:pt x="5081142" y="2443940"/>
              </a:lnTo>
              <a:lnTo>
                <a:pt x="5027580" y="2447874"/>
              </a:lnTo>
              <a:lnTo>
                <a:pt x="4970444" y="2451899"/>
              </a:lnTo>
              <a:lnTo>
                <a:pt x="4927171" y="2454843"/>
              </a:lnTo>
              <a:lnTo>
                <a:pt x="4881620" y="2457888"/>
              </a:lnTo>
              <a:lnTo>
                <a:pt x="4834080" y="2461014"/>
              </a:lnTo>
              <a:lnTo>
                <a:pt x="4784840" y="2464199"/>
              </a:lnTo>
              <a:lnTo>
                <a:pt x="4734187" y="2467425"/>
              </a:lnTo>
              <a:lnTo>
                <a:pt x="4682411" y="2470670"/>
              </a:lnTo>
              <a:lnTo>
                <a:pt x="4629800" y="2473916"/>
              </a:lnTo>
              <a:lnTo>
                <a:pt x="4582922" y="2476769"/>
              </a:lnTo>
              <a:lnTo>
                <a:pt x="4534978" y="2479655"/>
              </a:lnTo>
              <a:lnTo>
                <a:pt x="4486045" y="2482568"/>
              </a:lnTo>
              <a:lnTo>
                <a:pt x="4436206" y="2485498"/>
              </a:lnTo>
              <a:lnTo>
                <a:pt x="4385540" y="2488438"/>
              </a:lnTo>
              <a:lnTo>
                <a:pt x="4334126" y="2491379"/>
              </a:lnTo>
              <a:lnTo>
                <a:pt x="4282046" y="2494314"/>
              </a:lnTo>
              <a:lnTo>
                <a:pt x="4229378" y="2497234"/>
              </a:lnTo>
              <a:lnTo>
                <a:pt x="4181934" y="2499824"/>
              </a:lnTo>
              <a:lnTo>
                <a:pt x="4133761" y="2502419"/>
              </a:lnTo>
              <a:lnTo>
                <a:pt x="4084937" y="2505015"/>
              </a:lnTo>
              <a:lnTo>
                <a:pt x="4035545" y="2507611"/>
              </a:lnTo>
              <a:lnTo>
                <a:pt x="3985664" y="2510203"/>
              </a:lnTo>
              <a:lnTo>
                <a:pt x="3935374" y="2512789"/>
              </a:lnTo>
              <a:lnTo>
                <a:pt x="3884757" y="2515365"/>
              </a:lnTo>
              <a:lnTo>
                <a:pt x="3833892" y="2517929"/>
              </a:lnTo>
              <a:lnTo>
                <a:pt x="3782860" y="2520479"/>
              </a:lnTo>
              <a:lnTo>
                <a:pt x="3731458" y="2523034"/>
              </a:lnTo>
              <a:lnTo>
                <a:pt x="3679503" y="2525609"/>
              </a:lnTo>
              <a:lnTo>
                <a:pt x="3627109" y="2528189"/>
              </a:lnTo>
              <a:lnTo>
                <a:pt x="3574386" y="2530759"/>
              </a:lnTo>
              <a:lnTo>
                <a:pt x="3521448" y="2533306"/>
              </a:lnTo>
              <a:lnTo>
                <a:pt x="3468406" y="2535815"/>
              </a:lnTo>
              <a:lnTo>
                <a:pt x="3415373" y="2538273"/>
              </a:lnTo>
              <a:lnTo>
                <a:pt x="3362460" y="2540664"/>
              </a:lnTo>
              <a:lnTo>
                <a:pt x="3309781" y="2542976"/>
              </a:lnTo>
              <a:lnTo>
                <a:pt x="3257060" y="2545213"/>
              </a:lnTo>
              <a:lnTo>
                <a:pt x="3204051" y="2547393"/>
              </a:lnTo>
              <a:lnTo>
                <a:pt x="3150900" y="2549519"/>
              </a:lnTo>
              <a:lnTo>
                <a:pt x="3097759" y="2551593"/>
              </a:lnTo>
              <a:lnTo>
                <a:pt x="3044775" y="2553618"/>
              </a:lnTo>
              <a:lnTo>
                <a:pt x="2992097" y="2555596"/>
              </a:lnTo>
              <a:lnTo>
                <a:pt x="2939875" y="2557530"/>
              </a:lnTo>
              <a:lnTo>
                <a:pt x="2888257" y="2559422"/>
              </a:lnTo>
              <a:lnTo>
                <a:pt x="2837392" y="2561274"/>
              </a:lnTo>
              <a:lnTo>
                <a:pt x="2787010" y="2563090"/>
              </a:lnTo>
              <a:lnTo>
                <a:pt x="2736826" y="2564867"/>
              </a:lnTo>
              <a:lnTo>
                <a:pt x="2686969" y="2566602"/>
              </a:lnTo>
              <a:lnTo>
                <a:pt x="2637567" y="2568293"/>
              </a:lnTo>
              <a:lnTo>
                <a:pt x="2588749" y="2569937"/>
              </a:lnTo>
              <a:lnTo>
                <a:pt x="2540644" y="2571531"/>
              </a:lnTo>
              <a:lnTo>
                <a:pt x="2493381" y="2573072"/>
              </a:lnTo>
              <a:lnTo>
                <a:pt x="2447088" y="2574557"/>
              </a:lnTo>
              <a:lnTo>
                <a:pt x="2401893" y="2575983"/>
              </a:lnTo>
              <a:lnTo>
                <a:pt x="2345124" y="2577716"/>
              </a:lnTo>
              <a:lnTo>
                <a:pt x="2289584" y="2579338"/>
              </a:lnTo>
              <a:lnTo>
                <a:pt x="2235396" y="2580866"/>
              </a:lnTo>
              <a:lnTo>
                <a:pt x="2182679" y="2582319"/>
              </a:lnTo>
              <a:lnTo>
                <a:pt x="2131554" y="2583713"/>
              </a:lnTo>
              <a:lnTo>
                <a:pt x="2082142" y="2585066"/>
              </a:lnTo>
              <a:lnTo>
                <a:pt x="2034562" y="2586396"/>
              </a:lnTo>
              <a:lnTo>
                <a:pt x="1981276" y="2587892"/>
              </a:lnTo>
              <a:lnTo>
                <a:pt x="1930229" y="2589305"/>
              </a:lnTo>
              <a:lnTo>
                <a:pt x="1881458" y="2590654"/>
              </a:lnTo>
              <a:lnTo>
                <a:pt x="1835000" y="2591958"/>
              </a:lnTo>
              <a:lnTo>
                <a:pt x="1790893" y="2593238"/>
              </a:lnTo>
              <a:lnTo>
                <a:pt x="1749174" y="2594511"/>
              </a:lnTo>
              <a:lnTo>
                <a:pt x="1690937" y="2596416"/>
              </a:lnTo>
              <a:lnTo>
                <a:pt x="1637915" y="2598276"/>
              </a:lnTo>
              <a:lnTo>
                <a:pt x="1590332" y="2600055"/>
              </a:lnTo>
              <a:lnTo>
                <a:pt x="1548411" y="2601717"/>
              </a:lnTo>
              <a:lnTo>
                <a:pt x="1482155" y="2604799"/>
              </a:lnTo>
              <a:lnTo>
                <a:pt x="1437056" y="2607245"/>
              </a:lnTo>
              <a:lnTo>
                <a:pt x="1405544" y="2609373"/>
              </a:lnTo>
              <a:lnTo>
                <a:pt x="1408392" y="2609280"/>
              </a:lnTo>
              <a:lnTo>
                <a:pt x="1415560" y="2608925"/>
              </a:lnTo>
              <a:lnTo>
                <a:pt x="1426833" y="2608405"/>
              </a:lnTo>
              <a:lnTo>
                <a:pt x="1483521" y="2606369"/>
              </a:lnTo>
              <a:lnTo>
                <a:pt x="1541904" y="2604689"/>
              </a:lnTo>
              <a:lnTo>
                <a:pt x="1618556" y="2602984"/>
              </a:lnTo>
              <a:lnTo>
                <a:pt x="1663620" y="2602124"/>
              </a:lnTo>
              <a:lnTo>
                <a:pt x="1713273" y="2601303"/>
              </a:lnTo>
              <a:lnTo>
                <a:pt x="1756214" y="2600727"/>
              </a:lnTo>
              <a:lnTo>
                <a:pt x="1801978" y="2600216"/>
              </a:lnTo>
              <a:lnTo>
                <a:pt x="1850714" y="2599699"/>
              </a:lnTo>
              <a:lnTo>
                <a:pt x="1902570" y="2599106"/>
              </a:lnTo>
              <a:lnTo>
                <a:pt x="1957696" y="2598364"/>
              </a:lnTo>
              <a:lnTo>
                <a:pt x="2006221" y="2597604"/>
              </a:lnTo>
              <a:lnTo>
                <a:pt x="2057047" y="2596744"/>
              </a:lnTo>
              <a:lnTo>
                <a:pt x="2110075" y="2595814"/>
              </a:lnTo>
              <a:lnTo>
                <a:pt x="2165204" y="2594845"/>
              </a:lnTo>
              <a:lnTo>
                <a:pt x="2222338" y="2593866"/>
              </a:lnTo>
              <a:lnTo>
                <a:pt x="2281376" y="2592908"/>
              </a:lnTo>
              <a:lnTo>
                <a:pt x="2327048" y="2592195"/>
              </a:lnTo>
              <a:lnTo>
                <a:pt x="2374050" y="2591466"/>
              </a:lnTo>
              <a:lnTo>
                <a:pt x="2422260" y="2590727"/>
              </a:lnTo>
              <a:lnTo>
                <a:pt x="2471556" y="2589985"/>
              </a:lnTo>
              <a:lnTo>
                <a:pt x="2521817" y="2589247"/>
              </a:lnTo>
              <a:lnTo>
                <a:pt x="2572923" y="2588519"/>
              </a:lnTo>
              <a:lnTo>
                <a:pt x="2624751" y="2587809"/>
              </a:lnTo>
              <a:lnTo>
                <a:pt x="2677181" y="2587122"/>
              </a:lnTo>
              <a:lnTo>
                <a:pt x="2724484" y="2586527"/>
              </a:lnTo>
              <a:lnTo>
                <a:pt x="2772646" y="2585939"/>
              </a:lnTo>
              <a:lnTo>
                <a:pt x="2821554" y="2585359"/>
              </a:lnTo>
              <a:lnTo>
                <a:pt x="2871098" y="2584789"/>
              </a:lnTo>
              <a:lnTo>
                <a:pt x="2921164" y="2584231"/>
              </a:lnTo>
              <a:lnTo>
                <a:pt x="2971642" y="2583687"/>
              </a:lnTo>
              <a:lnTo>
                <a:pt x="3022419" y="2583158"/>
              </a:lnTo>
              <a:lnTo>
                <a:pt x="3073384" y="2582646"/>
              </a:lnTo>
              <a:lnTo>
                <a:pt x="3124424" y="2582154"/>
              </a:lnTo>
              <a:lnTo>
                <a:pt x="3175800" y="2581697"/>
              </a:lnTo>
              <a:lnTo>
                <a:pt x="3227755" y="2581282"/>
              </a:lnTo>
              <a:lnTo>
                <a:pt x="3280149" y="2580896"/>
              </a:lnTo>
              <a:lnTo>
                <a:pt x="3332842" y="2580526"/>
              </a:lnTo>
              <a:lnTo>
                <a:pt x="3385695" y="2580157"/>
              </a:lnTo>
              <a:lnTo>
                <a:pt x="3438568" y="2579778"/>
              </a:lnTo>
              <a:lnTo>
                <a:pt x="3491321" y="2579374"/>
              </a:lnTo>
              <a:lnTo>
                <a:pt x="3543815" y="2578932"/>
              </a:lnTo>
              <a:lnTo>
                <a:pt x="3595911" y="2578439"/>
              </a:lnTo>
              <a:lnTo>
                <a:pt x="3647927" y="2577903"/>
              </a:lnTo>
              <a:lnTo>
                <a:pt x="3700163" y="2577338"/>
              </a:lnTo>
              <a:lnTo>
                <a:pt x="3752449" y="2576748"/>
              </a:lnTo>
              <a:lnTo>
                <a:pt x="3804616" y="2576134"/>
              </a:lnTo>
              <a:lnTo>
                <a:pt x="3856493" y="2575496"/>
              </a:lnTo>
              <a:lnTo>
                <a:pt x="3907912" y="2574837"/>
              </a:lnTo>
              <a:lnTo>
                <a:pt x="3958702" y="2574157"/>
              </a:lnTo>
              <a:lnTo>
                <a:pt x="4008693" y="2573459"/>
              </a:lnTo>
              <a:lnTo>
                <a:pt x="4057716" y="2572743"/>
              </a:lnTo>
              <a:lnTo>
                <a:pt x="4112042" y="2571913"/>
              </a:lnTo>
              <a:lnTo>
                <a:pt x="4165831" y="2571052"/>
              </a:lnTo>
              <a:lnTo>
                <a:pt x="4218928" y="2570164"/>
              </a:lnTo>
              <a:lnTo>
                <a:pt x="4271178" y="2569251"/>
              </a:lnTo>
              <a:lnTo>
                <a:pt x="4322425" y="2568316"/>
              </a:lnTo>
              <a:lnTo>
                <a:pt x="4372512" y="2567361"/>
              </a:lnTo>
              <a:lnTo>
                <a:pt x="4421286" y="2566390"/>
              </a:lnTo>
              <a:lnTo>
                <a:pt x="4468589" y="2565404"/>
              </a:lnTo>
              <a:lnTo>
                <a:pt x="4521088" y="2564254"/>
              </a:lnTo>
              <a:lnTo>
                <a:pt x="4572178" y="2563076"/>
              </a:lnTo>
              <a:lnTo>
                <a:pt x="4621728" y="2561871"/>
              </a:lnTo>
              <a:lnTo>
                <a:pt x="4669612" y="2560645"/>
              </a:lnTo>
              <a:lnTo>
                <a:pt x="4715701" y="2559400"/>
              </a:lnTo>
              <a:lnTo>
                <a:pt x="4759865" y="2558141"/>
              </a:lnTo>
              <a:lnTo>
                <a:pt x="4801977" y="2556872"/>
              </a:lnTo>
              <a:lnTo>
                <a:pt x="4857564" y="2555042"/>
              </a:lnTo>
              <a:lnTo>
                <a:pt x="4909434" y="2553150"/>
              </a:lnTo>
              <a:lnTo>
                <a:pt x="4957632" y="2551243"/>
              </a:lnTo>
              <a:lnTo>
                <a:pt x="5002201" y="2549368"/>
              </a:lnTo>
              <a:lnTo>
                <a:pt x="5043187" y="2547572"/>
              </a:lnTo>
              <a:lnTo>
                <a:pt x="5089335" y="2545417"/>
              </a:lnTo>
              <a:lnTo>
                <a:pt x="5129811" y="2543324"/>
              </a:lnTo>
              <a:lnTo>
                <a:pt x="5194062" y="2539471"/>
              </a:lnTo>
              <a:lnTo>
                <a:pt x="5235465" y="2536057"/>
              </a:lnTo>
              <a:lnTo>
                <a:pt x="5259717" y="2532342"/>
              </a:lnTo>
              <a:lnTo>
                <a:pt x="5258220" y="2531537"/>
              </a:lnTo>
              <a:lnTo>
                <a:pt x="5252323" y="2531018"/>
              </a:lnTo>
              <a:lnTo>
                <a:pt x="5242548" y="2530870"/>
              </a:lnTo>
              <a:lnTo>
                <a:pt x="5228975" y="2531147"/>
              </a:lnTo>
              <a:lnTo>
                <a:pt x="5189673" y="2532728"/>
              </a:lnTo>
              <a:lnTo>
                <a:pt x="5134200" y="2535231"/>
              </a:lnTo>
              <a:lnTo>
                <a:pt x="5062554" y="2538654"/>
              </a:lnTo>
              <a:lnTo>
                <a:pt x="5020976" y="2540741"/>
              </a:lnTo>
              <a:lnTo>
                <a:pt x="4975769" y="2543171"/>
              </a:lnTo>
              <a:lnTo>
                <a:pt x="4926817" y="2545911"/>
              </a:lnTo>
              <a:lnTo>
                <a:pt x="4873845" y="2548782"/>
              </a:lnTo>
              <a:lnTo>
                <a:pt x="4816576" y="2551602"/>
              </a:lnTo>
              <a:lnTo>
                <a:pt x="4767540" y="2553771"/>
              </a:lnTo>
              <a:lnTo>
                <a:pt x="4715730" y="2555926"/>
              </a:lnTo>
              <a:lnTo>
                <a:pt x="4661270" y="2558098"/>
              </a:lnTo>
              <a:lnTo>
                <a:pt x="4604289" y="2560317"/>
              </a:lnTo>
              <a:lnTo>
                <a:pt x="4544912" y="2562615"/>
              </a:lnTo>
              <a:lnTo>
                <a:pt x="4500968" y="2564331"/>
              </a:lnTo>
              <a:lnTo>
                <a:pt x="4455662" y="2566110"/>
              </a:lnTo>
              <a:lnTo>
                <a:pt x="4409067" y="2567926"/>
              </a:lnTo>
              <a:lnTo>
                <a:pt x="4361254" y="2569756"/>
              </a:lnTo>
              <a:lnTo>
                <a:pt x="4312297" y="2571573"/>
              </a:lnTo>
              <a:lnTo>
                <a:pt x="4262269" y="2573354"/>
              </a:lnTo>
              <a:lnTo>
                <a:pt x="4211241" y="2575073"/>
              </a:lnTo>
              <a:lnTo>
                <a:pt x="4165632" y="2576541"/>
              </a:lnTo>
              <a:lnTo>
                <a:pt x="4119008" y="2577998"/>
              </a:lnTo>
              <a:lnTo>
                <a:pt x="4071473" y="2579437"/>
              </a:lnTo>
              <a:lnTo>
                <a:pt x="4023134" y="2580853"/>
              </a:lnTo>
              <a:lnTo>
                <a:pt x="3974099" y="2582238"/>
              </a:lnTo>
              <a:lnTo>
                <a:pt x="3924472" y="2583584"/>
              </a:lnTo>
              <a:lnTo>
                <a:pt x="3874361" y="2584886"/>
              </a:lnTo>
              <a:lnTo>
                <a:pt x="3823872" y="2586136"/>
              </a:lnTo>
              <a:lnTo>
                <a:pt x="3772792" y="2587316"/>
              </a:lnTo>
              <a:lnTo>
                <a:pt x="3720930" y="2588426"/>
              </a:lnTo>
              <a:lnTo>
                <a:pt x="3668422" y="2589484"/>
              </a:lnTo>
              <a:lnTo>
                <a:pt x="3615403" y="2590507"/>
              </a:lnTo>
              <a:lnTo>
                <a:pt x="3562011" y="2591514"/>
              </a:lnTo>
              <a:lnTo>
                <a:pt x="3508380" y="2592524"/>
              </a:lnTo>
              <a:lnTo>
                <a:pt x="3454648" y="2593553"/>
              </a:lnTo>
              <a:lnTo>
                <a:pt x="3400949" y="2594620"/>
              </a:lnTo>
              <a:lnTo>
                <a:pt x="3352979" y="2595604"/>
              </a:lnTo>
              <a:lnTo>
                <a:pt x="3304531" y="2596609"/>
              </a:lnTo>
              <a:lnTo>
                <a:pt x="3255766" y="2597627"/>
              </a:lnTo>
              <a:lnTo>
                <a:pt x="3206850" y="2598652"/>
              </a:lnTo>
              <a:lnTo>
                <a:pt x="3157945" y="2599676"/>
              </a:lnTo>
              <a:lnTo>
                <a:pt x="3109213" y="2600691"/>
              </a:lnTo>
              <a:lnTo>
                <a:pt x="3060819" y="2601690"/>
              </a:lnTo>
              <a:lnTo>
                <a:pt x="3012925" y="2602667"/>
              </a:lnTo>
              <a:lnTo>
                <a:pt x="2965694" y="2603613"/>
              </a:lnTo>
              <a:lnTo>
                <a:pt x="2912937" y="2604641"/>
              </a:lnTo>
              <a:lnTo>
                <a:pt x="2860221" y="2605640"/>
              </a:lnTo>
              <a:lnTo>
                <a:pt x="2807778" y="2606615"/>
              </a:lnTo>
              <a:lnTo>
                <a:pt x="2755838" y="2607572"/>
              </a:lnTo>
              <a:lnTo>
                <a:pt x="2704634" y="2608517"/>
              </a:lnTo>
              <a:lnTo>
                <a:pt x="2654396" y="2609455"/>
              </a:lnTo>
              <a:lnTo>
                <a:pt x="2605356" y="2610391"/>
              </a:lnTo>
              <a:lnTo>
                <a:pt x="2557746" y="2611331"/>
              </a:lnTo>
              <a:lnTo>
                <a:pt x="2504776" y="2612416"/>
              </a:lnTo>
              <a:lnTo>
                <a:pt x="2452977" y="2613508"/>
              </a:lnTo>
              <a:lnTo>
                <a:pt x="2402493" y="2614595"/>
              </a:lnTo>
              <a:lnTo>
                <a:pt x="2353469" y="2615670"/>
              </a:lnTo>
              <a:lnTo>
                <a:pt x="2306048" y="2616722"/>
              </a:lnTo>
              <a:lnTo>
                <a:pt x="2260375" y="2617742"/>
              </a:lnTo>
              <a:lnTo>
                <a:pt x="2216594" y="2618720"/>
              </a:lnTo>
              <a:lnTo>
                <a:pt x="2158324" y="2620006"/>
              </a:lnTo>
              <a:lnTo>
                <a:pt x="2103350" y="2621215"/>
              </a:lnTo>
              <a:lnTo>
                <a:pt x="2051725" y="2622377"/>
              </a:lnTo>
              <a:lnTo>
                <a:pt x="2003502" y="2623524"/>
              </a:lnTo>
              <a:lnTo>
                <a:pt x="1958733" y="2624688"/>
              </a:lnTo>
              <a:lnTo>
                <a:pt x="1907825" y="2626186"/>
              </a:lnTo>
              <a:lnTo>
                <a:pt x="1862394" y="2627692"/>
              </a:lnTo>
              <a:lnTo>
                <a:pt x="1822037" y="2629162"/>
              </a:lnTo>
              <a:lnTo>
                <a:pt x="1755492" y="2631860"/>
              </a:lnTo>
              <a:lnTo>
                <a:pt x="1708189" y="2634281"/>
              </a:lnTo>
              <a:lnTo>
                <a:pt x="1669015" y="2637264"/>
              </a:lnTo>
              <a:lnTo>
                <a:pt x="1663059" y="2638836"/>
              </a:lnTo>
              <a:lnTo>
                <a:pt x="1665448" y="2639501"/>
              </a:lnTo>
              <a:lnTo>
                <a:pt x="1711774" y="2641434"/>
              </a:lnTo>
              <a:lnTo>
                <a:pt x="1756555" y="2642022"/>
              </a:lnTo>
              <a:lnTo>
                <a:pt x="1817664" y="2642433"/>
              </a:lnTo>
              <a:lnTo>
                <a:pt x="1895101" y="2642668"/>
              </a:lnTo>
              <a:lnTo>
                <a:pt x="1941101" y="2642745"/>
              </a:lnTo>
              <a:lnTo>
                <a:pt x="1981554" y="2642788"/>
              </a:lnTo>
              <a:lnTo>
                <a:pt x="2025048" y="2642810"/>
              </a:lnTo>
              <a:lnTo>
                <a:pt x="2071682" y="2642817"/>
              </a:lnTo>
              <a:lnTo>
                <a:pt x="2121554" y="2642812"/>
              </a:lnTo>
              <a:lnTo>
                <a:pt x="2174762" y="2642802"/>
              </a:lnTo>
              <a:lnTo>
                <a:pt x="2221774" y="2642787"/>
              </a:lnTo>
              <a:lnTo>
                <a:pt x="2271200" y="2642765"/>
              </a:lnTo>
              <a:lnTo>
                <a:pt x="2322897" y="2642736"/>
              </a:lnTo>
              <a:lnTo>
                <a:pt x="2376723" y="2642702"/>
              </a:lnTo>
              <a:lnTo>
                <a:pt x="2432537" y="2642666"/>
              </a:lnTo>
              <a:lnTo>
                <a:pt x="2490197" y="2642630"/>
              </a:lnTo>
              <a:lnTo>
                <a:pt x="2534752" y="2642602"/>
              </a:lnTo>
              <a:lnTo>
                <a:pt x="2580563" y="2642572"/>
              </a:lnTo>
              <a:lnTo>
                <a:pt x="2627546" y="2642540"/>
              </a:lnTo>
              <a:lnTo>
                <a:pt x="2675620" y="2642507"/>
              </a:lnTo>
              <a:lnTo>
                <a:pt x="2724702" y="2642474"/>
              </a:lnTo>
              <a:lnTo>
                <a:pt x="2774710" y="2642440"/>
              </a:lnTo>
              <a:lnTo>
                <a:pt x="2825562" y="2642406"/>
              </a:lnTo>
              <a:lnTo>
                <a:pt x="2877175" y="2642374"/>
              </a:lnTo>
              <a:lnTo>
                <a:pt x="2923859" y="2642336"/>
              </a:lnTo>
              <a:lnTo>
                <a:pt x="2971458" y="2642285"/>
              </a:lnTo>
              <a:lnTo>
                <a:pt x="3019870" y="2642227"/>
              </a:lnTo>
              <a:lnTo>
                <a:pt x="3068992" y="2642169"/>
              </a:lnTo>
              <a:lnTo>
                <a:pt x="3118721" y="2642117"/>
              </a:lnTo>
              <a:lnTo>
                <a:pt x="3168955" y="2642080"/>
              </a:lnTo>
              <a:lnTo>
                <a:pt x="3219591" y="2642063"/>
              </a:lnTo>
              <a:lnTo>
                <a:pt x="3270528" y="2642073"/>
              </a:lnTo>
              <a:lnTo>
                <a:pt x="3321663" y="2642118"/>
              </a:lnTo>
              <a:lnTo>
                <a:pt x="3373216" y="2642198"/>
              </a:lnTo>
              <a:lnTo>
                <a:pt x="3425399" y="2642307"/>
              </a:lnTo>
              <a:lnTo>
                <a:pt x="3478099" y="2642442"/>
              </a:lnTo>
              <a:lnTo>
                <a:pt x="3531202" y="2642597"/>
              </a:lnTo>
              <a:lnTo>
                <a:pt x="3584593" y="2642768"/>
              </a:lnTo>
              <a:lnTo>
                <a:pt x="3638159" y="2642951"/>
              </a:lnTo>
              <a:lnTo>
                <a:pt x="3691785" y="2643142"/>
              </a:lnTo>
              <a:lnTo>
                <a:pt x="3745357" y="2643335"/>
              </a:lnTo>
              <a:lnTo>
                <a:pt x="3798762" y="2643526"/>
              </a:lnTo>
              <a:lnTo>
                <a:pt x="3852289" y="2643723"/>
              </a:lnTo>
              <a:lnTo>
                <a:pt x="3906197" y="2643932"/>
              </a:lnTo>
              <a:lnTo>
                <a:pt x="3960327" y="2644151"/>
              </a:lnTo>
              <a:lnTo>
                <a:pt x="4014516" y="2644377"/>
              </a:lnTo>
              <a:lnTo>
                <a:pt x="4068606" y="2644608"/>
              </a:lnTo>
              <a:lnTo>
                <a:pt x="4122435" y="2644841"/>
              </a:lnTo>
              <a:lnTo>
                <a:pt x="4175843" y="2645074"/>
              </a:lnTo>
              <a:lnTo>
                <a:pt x="4228670" y="2645304"/>
              </a:lnTo>
              <a:lnTo>
                <a:pt x="4280754" y="2645528"/>
              </a:lnTo>
              <a:lnTo>
                <a:pt x="4332403" y="2645749"/>
              </a:lnTo>
              <a:lnTo>
                <a:pt x="4383930" y="2645972"/>
              </a:lnTo>
              <a:lnTo>
                <a:pt x="4435186" y="2646196"/>
              </a:lnTo>
              <a:lnTo>
                <a:pt x="4486020" y="2646419"/>
              </a:lnTo>
              <a:lnTo>
                <a:pt x="4536284" y="2646641"/>
              </a:lnTo>
              <a:lnTo>
                <a:pt x="4585828" y="2646860"/>
              </a:lnTo>
              <a:lnTo>
                <a:pt x="4634501" y="2647074"/>
              </a:lnTo>
              <a:lnTo>
                <a:pt x="4682153" y="2647282"/>
              </a:lnTo>
              <a:lnTo>
                <a:pt x="4728636" y="2647484"/>
              </a:lnTo>
              <a:lnTo>
                <a:pt x="4787046" y="2647736"/>
              </a:lnTo>
              <a:lnTo>
                <a:pt x="4844259" y="2647981"/>
              </a:lnTo>
              <a:lnTo>
                <a:pt x="4900094" y="2648219"/>
              </a:lnTo>
              <a:lnTo>
                <a:pt x="4954369" y="2648450"/>
              </a:lnTo>
              <a:lnTo>
                <a:pt x="5006902" y="2648672"/>
              </a:lnTo>
              <a:lnTo>
                <a:pt x="5057512" y="2648885"/>
              </a:lnTo>
              <a:lnTo>
                <a:pt x="5106015" y="2649087"/>
              </a:lnTo>
              <a:lnTo>
                <a:pt x="5160051" y="2649310"/>
              </a:lnTo>
              <a:lnTo>
                <a:pt x="5211569" y="2649520"/>
              </a:lnTo>
              <a:lnTo>
                <a:pt x="5260551" y="2649717"/>
              </a:lnTo>
              <a:lnTo>
                <a:pt x="5306978" y="2649903"/>
              </a:lnTo>
              <a:lnTo>
                <a:pt x="5350831" y="2650077"/>
              </a:lnTo>
              <a:lnTo>
                <a:pt x="5392091" y="2650239"/>
              </a:lnTo>
              <a:lnTo>
                <a:pt x="5448855" y="2650460"/>
              </a:lnTo>
              <a:lnTo>
                <a:pt x="5499642" y="2650653"/>
              </a:lnTo>
              <a:lnTo>
                <a:pt x="5545007" y="2650822"/>
              </a:lnTo>
              <a:lnTo>
                <a:pt x="5585504" y="2650971"/>
              </a:lnTo>
              <a:lnTo>
                <a:pt x="5651278" y="2651205"/>
              </a:lnTo>
              <a:lnTo>
                <a:pt x="5676820" y="2651293"/>
              </a:lnTo>
              <a:lnTo>
                <a:pt x="5698085" y="2651368"/>
              </a:lnTo>
              <a:lnTo>
                <a:pt x="5715095" y="2651429"/>
              </a:lnTo>
              <a:lnTo>
                <a:pt x="5727636" y="2651473"/>
              </a:lnTo>
              <a:lnTo>
                <a:pt x="5735821" y="2651506"/>
              </a:lnTo>
              <a:lnTo>
                <a:pt x="5739765" y="2651531"/>
              </a:lnTo>
              <a:lnTo>
                <a:pt x="5739413" y="2651547"/>
              </a:lnTo>
              <a:lnTo>
                <a:pt x="5734734" y="2651553"/>
              </a:lnTo>
              <a:lnTo>
                <a:pt x="5696191" y="2651539"/>
              </a:lnTo>
              <a:lnTo>
                <a:pt x="5650369" y="2651507"/>
              </a:lnTo>
              <a:lnTo>
                <a:pt x="5620850" y="2651489"/>
              </a:lnTo>
              <a:lnTo>
                <a:pt x="5586583" y="2651394"/>
              </a:lnTo>
              <a:lnTo>
                <a:pt x="5547763" y="2651246"/>
              </a:lnTo>
              <a:lnTo>
                <a:pt x="5504832" y="2651198"/>
              </a:lnTo>
              <a:lnTo>
                <a:pt x="5458229" y="2651403"/>
              </a:lnTo>
              <a:lnTo>
                <a:pt x="5408017" y="2651787"/>
              </a:lnTo>
              <a:lnTo>
                <a:pt x="5353980" y="2652305"/>
              </a:lnTo>
              <a:lnTo>
                <a:pt x="5296139" y="2653161"/>
              </a:lnTo>
              <a:lnTo>
                <a:pt x="5234520" y="2654558"/>
              </a:lnTo>
              <a:lnTo>
                <a:pt x="5191148" y="2655865"/>
              </a:lnTo>
              <a:lnTo>
                <a:pt x="5145856" y="2657438"/>
              </a:lnTo>
              <a:lnTo>
                <a:pt x="5098882" y="2659221"/>
              </a:lnTo>
              <a:lnTo>
                <a:pt x="5050460" y="2661159"/>
              </a:lnTo>
              <a:lnTo>
                <a:pt x="5000829" y="2663196"/>
              </a:lnTo>
              <a:lnTo>
                <a:pt x="4950225" y="2665278"/>
              </a:lnTo>
              <a:lnTo>
                <a:pt x="4898442" y="2667386"/>
              </a:lnTo>
              <a:lnTo>
                <a:pt x="4845251" y="2669562"/>
              </a:lnTo>
              <a:lnTo>
                <a:pt x="4790851" y="2671838"/>
              </a:lnTo>
              <a:lnTo>
                <a:pt x="4735439" y="2674244"/>
              </a:lnTo>
              <a:lnTo>
                <a:pt x="4679214" y="2676813"/>
              </a:lnTo>
              <a:lnTo>
                <a:pt x="4622375" y="2679576"/>
              </a:lnTo>
              <a:lnTo>
                <a:pt x="4572932" y="2682123"/>
              </a:lnTo>
              <a:lnTo>
                <a:pt x="4522600" y="2684825"/>
              </a:lnTo>
              <a:lnTo>
                <a:pt x="4471597" y="2687655"/>
              </a:lnTo>
              <a:lnTo>
                <a:pt x="4420143" y="2690586"/>
              </a:lnTo>
              <a:lnTo>
                <a:pt x="4368458" y="2693591"/>
              </a:lnTo>
              <a:lnTo>
                <a:pt x="4316761" y="2696643"/>
              </a:lnTo>
              <a:lnTo>
                <a:pt x="4265272" y="2699715"/>
              </a:lnTo>
              <a:lnTo>
                <a:pt x="4213645" y="2702833"/>
              </a:lnTo>
              <a:lnTo>
                <a:pt x="4161571" y="2706030"/>
              </a:lnTo>
              <a:lnTo>
                <a:pt x="4109322" y="2709289"/>
              </a:lnTo>
              <a:lnTo>
                <a:pt x="4057169" y="2712592"/>
              </a:lnTo>
              <a:lnTo>
                <a:pt x="4005383" y="2715921"/>
              </a:lnTo>
              <a:lnTo>
                <a:pt x="3954238" y="2719260"/>
              </a:lnTo>
              <a:lnTo>
                <a:pt x="3904005" y="2722589"/>
              </a:lnTo>
              <a:lnTo>
                <a:pt x="3854369" y="2725926"/>
              </a:lnTo>
              <a:lnTo>
                <a:pt x="3804984" y="2729290"/>
              </a:lnTo>
              <a:lnTo>
                <a:pt x="3756075" y="2732672"/>
              </a:lnTo>
              <a:lnTo>
                <a:pt x="3707863" y="2736063"/>
              </a:lnTo>
              <a:lnTo>
                <a:pt x="3660574" y="2739451"/>
              </a:lnTo>
              <a:lnTo>
                <a:pt x="3614430" y="2742828"/>
              </a:lnTo>
              <a:lnTo>
                <a:pt x="3569654" y="2746184"/>
              </a:lnTo>
              <a:lnTo>
                <a:pt x="3518873" y="2750082"/>
              </a:lnTo>
              <a:lnTo>
                <a:pt x="3469361" y="2753976"/>
              </a:lnTo>
              <a:lnTo>
                <a:pt x="3421307" y="2757858"/>
              </a:lnTo>
              <a:lnTo>
                <a:pt x="3374898" y="2761721"/>
              </a:lnTo>
              <a:lnTo>
                <a:pt x="3330324" y="2765560"/>
              </a:lnTo>
              <a:lnTo>
                <a:pt x="3287774" y="2769367"/>
              </a:lnTo>
              <a:lnTo>
                <a:pt x="3227576" y="2775061"/>
              </a:lnTo>
              <a:lnTo>
                <a:pt x="3171474" y="2780726"/>
              </a:lnTo>
              <a:lnTo>
                <a:pt x="3119565" y="2786280"/>
              </a:lnTo>
              <a:lnTo>
                <a:pt x="3071943" y="2791643"/>
              </a:lnTo>
              <a:lnTo>
                <a:pt x="3028645" y="2796851"/>
              </a:lnTo>
              <a:lnTo>
                <a:pt x="2989616" y="2801926"/>
              </a:lnTo>
              <a:lnTo>
                <a:pt x="2924208" y="2811299"/>
              </a:lnTo>
              <a:lnTo>
                <a:pt x="2875800" y="2819397"/>
              </a:lnTo>
              <a:lnTo>
                <a:pt x="2833580" y="2829277"/>
              </a:lnTo>
              <a:lnTo>
                <a:pt x="2825168" y="2834307"/>
              </a:lnTo>
              <a:lnTo>
                <a:pt x="2826793" y="2836432"/>
              </a:lnTo>
              <a:lnTo>
                <a:pt x="2872041" y="2842400"/>
              </a:lnTo>
              <a:lnTo>
                <a:pt x="2916729" y="2844157"/>
              </a:lnTo>
              <a:lnTo>
                <a:pt x="2976353" y="2845274"/>
              </a:lnTo>
              <a:lnTo>
                <a:pt x="3050955" y="2845993"/>
              </a:lnTo>
              <a:lnTo>
                <a:pt x="3094001" y="2846145"/>
              </a:lnTo>
              <a:lnTo>
                <a:pt x="3141086" y="2846111"/>
              </a:lnTo>
              <a:lnTo>
                <a:pt x="3192338" y="2845846"/>
              </a:lnTo>
              <a:lnTo>
                <a:pt x="3247645" y="2845380"/>
              </a:lnTo>
              <a:lnTo>
                <a:pt x="3306805" y="2844794"/>
              </a:lnTo>
              <a:lnTo>
                <a:pt x="3369617" y="2844169"/>
              </a:lnTo>
              <a:lnTo>
                <a:pt x="3413538" y="2843767"/>
              </a:lnTo>
              <a:lnTo>
                <a:pt x="3459170" y="2843367"/>
              </a:lnTo>
              <a:lnTo>
                <a:pt x="3506455" y="2842937"/>
              </a:lnTo>
              <a:lnTo>
                <a:pt x="3555335" y="2842447"/>
              </a:lnTo>
              <a:lnTo>
                <a:pt x="3605752" y="2841867"/>
              </a:lnTo>
              <a:lnTo>
                <a:pt x="3657649" y="2841165"/>
              </a:lnTo>
              <a:lnTo>
                <a:pt x="3703443" y="2840475"/>
              </a:lnTo>
              <a:lnTo>
                <a:pt x="3750538" y="2839725"/>
              </a:lnTo>
              <a:lnTo>
                <a:pt x="3798806" y="2838909"/>
              </a:lnTo>
              <a:lnTo>
                <a:pt x="3848117" y="2838024"/>
              </a:lnTo>
              <a:lnTo>
                <a:pt x="3898343" y="2837065"/>
              </a:lnTo>
              <a:lnTo>
                <a:pt x="3949354" y="2836026"/>
              </a:lnTo>
              <a:lnTo>
                <a:pt x="4001023" y="2834903"/>
              </a:lnTo>
              <a:lnTo>
                <a:pt x="4046931" y="2833850"/>
              </a:lnTo>
              <a:lnTo>
                <a:pt x="4093661" y="2832734"/>
              </a:lnTo>
              <a:lnTo>
                <a:pt x="4141099" y="2831557"/>
              </a:lnTo>
              <a:lnTo>
                <a:pt x="4189135" y="2830322"/>
              </a:lnTo>
              <a:lnTo>
                <a:pt x="4237657" y="2829029"/>
              </a:lnTo>
              <a:lnTo>
                <a:pt x="4286551" y="2827683"/>
              </a:lnTo>
              <a:lnTo>
                <a:pt x="4335706" y="2826284"/>
              </a:lnTo>
              <a:lnTo>
                <a:pt x="4385010" y="2824836"/>
              </a:lnTo>
              <a:lnTo>
                <a:pt x="4434631" y="2823342"/>
              </a:lnTo>
              <a:lnTo>
                <a:pt x="4484749" y="2821803"/>
              </a:lnTo>
              <a:lnTo>
                <a:pt x="4535267" y="2820213"/>
              </a:lnTo>
              <a:lnTo>
                <a:pt x="4586088" y="2818568"/>
              </a:lnTo>
              <a:lnTo>
                <a:pt x="4637116" y="2816863"/>
              </a:lnTo>
              <a:lnTo>
                <a:pt x="4688254" y="2815093"/>
              </a:lnTo>
              <a:lnTo>
                <a:pt x="4739407" y="2813253"/>
              </a:lnTo>
              <a:lnTo>
                <a:pt x="4790478" y="2811337"/>
              </a:lnTo>
              <a:lnTo>
                <a:pt x="4841699" y="2809335"/>
              </a:lnTo>
              <a:lnTo>
                <a:pt x="4893261" y="2807248"/>
              </a:lnTo>
              <a:lnTo>
                <a:pt x="4945006" y="2805087"/>
              </a:lnTo>
              <a:lnTo>
                <a:pt x="4996778" y="2802862"/>
              </a:lnTo>
              <a:lnTo>
                <a:pt x="5048417" y="2800585"/>
              </a:lnTo>
              <a:lnTo>
                <a:pt x="5099768" y="2798268"/>
              </a:lnTo>
              <a:lnTo>
                <a:pt x="5150671" y="2795921"/>
              </a:lnTo>
              <a:lnTo>
                <a:pt x="5200969" y="2793557"/>
              </a:lnTo>
              <a:lnTo>
                <a:pt x="5250918" y="2791170"/>
              </a:lnTo>
              <a:lnTo>
                <a:pt x="5300779" y="2788749"/>
              </a:lnTo>
              <a:lnTo>
                <a:pt x="5350399" y="2786293"/>
              </a:lnTo>
              <a:lnTo>
                <a:pt x="5399627" y="2783799"/>
              </a:lnTo>
              <a:lnTo>
                <a:pt x="5448310" y="2781266"/>
              </a:lnTo>
              <a:lnTo>
                <a:pt x="5496296" y="2778693"/>
              </a:lnTo>
              <a:lnTo>
                <a:pt x="5543433" y="2776077"/>
              </a:lnTo>
              <a:lnTo>
                <a:pt x="5589569" y="2773419"/>
              </a:lnTo>
              <a:lnTo>
                <a:pt x="5641321" y="2770312"/>
              </a:lnTo>
              <a:lnTo>
                <a:pt x="5692285" y="2767129"/>
              </a:lnTo>
              <a:lnTo>
                <a:pt x="5742320" y="2763886"/>
              </a:lnTo>
              <a:lnTo>
                <a:pt x="5791284" y="2760602"/>
              </a:lnTo>
              <a:lnTo>
                <a:pt x="5839036" y="2757292"/>
              </a:lnTo>
              <a:lnTo>
                <a:pt x="5885434" y="2753974"/>
              </a:lnTo>
              <a:lnTo>
                <a:pt x="5930338" y="2750665"/>
              </a:lnTo>
              <a:lnTo>
                <a:pt x="5990946" y="2746016"/>
              </a:lnTo>
              <a:lnTo>
                <a:pt x="6049131" y="2741322"/>
              </a:lnTo>
              <a:lnTo>
                <a:pt x="6104686" y="2736609"/>
              </a:lnTo>
              <a:lnTo>
                <a:pt x="6157407" y="2731904"/>
              </a:lnTo>
              <a:lnTo>
                <a:pt x="6207088" y="2727232"/>
              </a:lnTo>
              <a:lnTo>
                <a:pt x="6264861" y="2721349"/>
              </a:lnTo>
              <a:lnTo>
                <a:pt x="6318048" y="2715434"/>
              </a:lnTo>
              <a:lnTo>
                <a:pt x="6366800" y="2709660"/>
              </a:lnTo>
              <a:lnTo>
                <a:pt x="6411265" y="2704202"/>
              </a:lnTo>
              <a:lnTo>
                <a:pt x="6451193" y="2699099"/>
              </a:lnTo>
              <a:lnTo>
                <a:pt x="6518042" y="2689664"/>
              </a:lnTo>
              <a:lnTo>
                <a:pt x="6570398" y="2681152"/>
              </a:lnTo>
              <a:lnTo>
                <a:pt x="6608262" y="2673562"/>
              </a:lnTo>
              <a:lnTo>
                <a:pt x="6645305" y="2663406"/>
              </a:lnTo>
              <a:lnTo>
                <a:pt x="6666647" y="2651064"/>
              </a:lnTo>
              <a:lnTo>
                <a:pt x="6665225" y="2648631"/>
              </a:lnTo>
              <a:lnTo>
                <a:pt x="6663805" y="2646197"/>
              </a:lnTo>
              <a:lnTo>
                <a:pt x="6625114" y="2639347"/>
              </a:lnTo>
              <a:lnTo>
                <a:pt x="6584823" y="2636437"/>
              </a:lnTo>
              <a:lnTo>
                <a:pt x="6526319" y="2634246"/>
              </a:lnTo>
              <a:lnTo>
                <a:pt x="6475994" y="2633170"/>
              </a:lnTo>
              <a:lnTo>
                <a:pt x="6415610" y="2632341"/>
              </a:lnTo>
              <a:lnTo>
                <a:pt x="6345168" y="2631758"/>
              </a:lnTo>
              <a:lnTo>
                <a:pt x="6306533" y="2631531"/>
              </a:lnTo>
              <a:lnTo>
                <a:pt x="6265402" y="2631347"/>
              </a:lnTo>
              <a:lnTo>
                <a:pt x="6221798" y="2631210"/>
              </a:lnTo>
              <a:lnTo>
                <a:pt x="6176312" y="2631109"/>
              </a:lnTo>
              <a:lnTo>
                <a:pt x="6129539" y="2631030"/>
              </a:lnTo>
              <a:lnTo>
                <a:pt x="6081181" y="2630939"/>
              </a:lnTo>
              <a:lnTo>
                <a:pt x="6031075" y="2630853"/>
              </a:lnTo>
              <a:lnTo>
                <a:pt x="5980008" y="2630838"/>
              </a:lnTo>
              <a:lnTo>
                <a:pt x="5928772" y="2630961"/>
              </a:lnTo>
              <a:lnTo>
                <a:pt x="5877121" y="2631261"/>
              </a:lnTo>
              <a:lnTo>
                <a:pt x="5824785" y="2631695"/>
              </a:lnTo>
              <a:lnTo>
                <a:pt x="5772518" y="2632207"/>
              </a:lnTo>
              <a:lnTo>
                <a:pt x="5721075" y="2632739"/>
              </a:lnTo>
              <a:lnTo>
                <a:pt x="5670163" y="2633259"/>
              </a:lnTo>
              <a:lnTo>
                <a:pt x="5619544" y="2633804"/>
              </a:lnTo>
              <a:lnTo>
                <a:pt x="5570055" y="2634417"/>
              </a:lnTo>
              <a:lnTo>
                <a:pt x="5522530" y="2635139"/>
              </a:lnTo>
              <a:lnTo>
                <a:pt x="5476819" y="2635972"/>
              </a:lnTo>
              <a:lnTo>
                <a:pt x="5432599" y="2636897"/>
              </a:lnTo>
              <a:lnTo>
                <a:pt x="5390455" y="2637924"/>
              </a:lnTo>
              <a:lnTo>
                <a:pt x="5350968" y="2639061"/>
              </a:lnTo>
              <a:lnTo>
                <a:pt x="5279897" y="2641779"/>
              </a:lnTo>
              <a:lnTo>
                <a:pt x="5218823" y="2644698"/>
              </a:lnTo>
              <a:lnTo>
                <a:pt x="5167541" y="2647737"/>
              </a:lnTo>
              <a:lnTo>
                <a:pt x="5145858" y="2649150"/>
              </a:lnTo>
              <a:lnTo>
                <a:pt x="5127227" y="2650234"/>
              </a:lnTo>
              <a:lnTo>
                <a:pt x="5111813" y="2650989"/>
              </a:lnTo>
              <a:lnTo>
                <a:pt x="5099422" y="2651500"/>
              </a:lnTo>
              <a:lnTo>
                <a:pt x="5089833" y="2651704"/>
              </a:lnTo>
              <a:lnTo>
                <a:pt x="5082825" y="2651539"/>
              </a:lnTo>
              <a:lnTo>
                <a:pt x="5075107" y="2651044"/>
              </a:lnTo>
              <a:lnTo>
                <a:pt x="5075525" y="2650114"/>
              </a:lnTo>
              <a:lnTo>
                <a:pt x="5115160" y="2634449"/>
              </a:lnTo>
              <a:lnTo>
                <a:pt x="5158311" y="2620136"/>
              </a:lnTo>
              <a:lnTo>
                <a:pt x="5174629" y="2614681"/>
              </a:lnTo>
              <a:lnTo>
                <a:pt x="5227971" y="2596574"/>
              </a:lnTo>
              <a:lnTo>
                <a:pt x="5264655" y="2582985"/>
              </a:lnTo>
              <a:lnTo>
                <a:pt x="5301697" y="2568188"/>
              </a:lnTo>
              <a:lnTo>
                <a:pt x="5338276" y="2552426"/>
              </a:lnTo>
              <a:lnTo>
                <a:pt x="5374392" y="2535699"/>
              </a:lnTo>
              <a:lnTo>
                <a:pt x="5409234" y="2518214"/>
              </a:lnTo>
              <a:lnTo>
                <a:pt x="5442801" y="2499972"/>
              </a:lnTo>
              <a:lnTo>
                <a:pt x="5489565" y="2473510"/>
              </a:lnTo>
              <a:lnTo>
                <a:pt x="5532213" y="2448005"/>
              </a:lnTo>
              <a:lnTo>
                <a:pt x="5570572" y="2423660"/>
              </a:lnTo>
              <a:lnTo>
                <a:pt x="5602419" y="2402203"/>
              </a:lnTo>
              <a:lnTo>
                <a:pt x="5611829" y="2395723"/>
              </a:lnTo>
              <a:lnTo>
                <a:pt x="5620721" y="2389620"/>
              </a:lnTo>
              <a:lnTo>
                <a:pt x="5656220" y="2363872"/>
              </a:lnTo>
              <a:lnTo>
                <a:pt x="5676204" y="2343784"/>
              </a:lnTo>
              <a:lnTo>
                <a:pt x="5674485" y="2343474"/>
              </a:lnTo>
              <a:lnTo>
                <a:pt x="5627744" y="2361274"/>
              </a:lnTo>
              <a:lnTo>
                <a:pt x="5615163" y="2366538"/>
              </a:lnTo>
              <a:lnTo>
                <a:pt x="5601089" y="2372324"/>
              </a:lnTo>
              <a:lnTo>
                <a:pt x="5549839" y="2391773"/>
              </a:lnTo>
              <a:lnTo>
                <a:pt x="5508277" y="2406505"/>
              </a:lnTo>
              <a:lnTo>
                <a:pt x="5460404" y="2422564"/>
              </a:lnTo>
              <a:lnTo>
                <a:pt x="5407894" y="2439445"/>
              </a:lnTo>
              <a:lnTo>
                <a:pt x="5352034" y="2456569"/>
              </a:lnTo>
              <a:lnTo>
                <a:pt x="5293556" y="2474085"/>
              </a:lnTo>
              <a:lnTo>
                <a:pt x="5232866" y="2492071"/>
              </a:lnTo>
              <a:lnTo>
                <a:pt x="5202203" y="2501152"/>
              </a:lnTo>
              <a:lnTo>
                <a:pt x="5172228" y="2510167"/>
              </a:lnTo>
              <a:lnTo>
                <a:pt x="5142800" y="2519236"/>
              </a:lnTo>
              <a:lnTo>
                <a:pt x="5113666" y="2528360"/>
              </a:lnTo>
              <a:lnTo>
                <a:pt x="5085333" y="2537270"/>
              </a:lnTo>
              <a:lnTo>
                <a:pt x="5058306" y="2545695"/>
              </a:lnTo>
              <a:lnTo>
                <a:pt x="5032540" y="2553595"/>
              </a:lnTo>
              <a:lnTo>
                <a:pt x="5007826" y="2561102"/>
              </a:lnTo>
              <a:lnTo>
                <a:pt x="4984423" y="2568209"/>
              </a:lnTo>
              <a:lnTo>
                <a:pt x="4962592" y="2574907"/>
              </a:lnTo>
              <a:lnTo>
                <a:pt x="4941986" y="2581170"/>
              </a:lnTo>
              <a:lnTo>
                <a:pt x="4922607" y="2587011"/>
              </a:lnTo>
              <a:lnTo>
                <a:pt x="4905230" y="2592477"/>
              </a:lnTo>
              <a:lnTo>
                <a:pt x="4868871" y="2606920"/>
              </a:lnTo>
              <a:lnTo>
                <a:pt x="4858990" y="2614830"/>
              </a:lnTo>
              <a:lnTo>
                <a:pt x="4859335" y="2618227"/>
              </a:lnTo>
              <a:lnTo>
                <a:pt x="4898221" y="2628480"/>
              </a:lnTo>
              <a:lnTo>
                <a:pt x="4943141" y="2631793"/>
              </a:lnTo>
              <a:lnTo>
                <a:pt x="5006070" y="2634220"/>
              </a:lnTo>
              <a:lnTo>
                <a:pt x="5044274" y="2635083"/>
              </a:lnTo>
              <a:lnTo>
                <a:pt x="5087006" y="2635762"/>
              </a:lnTo>
              <a:lnTo>
                <a:pt x="5134333" y="2636315"/>
              </a:lnTo>
              <a:lnTo>
                <a:pt x="5175883" y="2636661"/>
              </a:lnTo>
              <a:lnTo>
                <a:pt x="5220728" y="2636898"/>
              </a:lnTo>
              <a:lnTo>
                <a:pt x="5268315" y="2637050"/>
              </a:lnTo>
              <a:lnTo>
                <a:pt x="5318090" y="2637142"/>
              </a:lnTo>
              <a:lnTo>
                <a:pt x="5369499" y="2637197"/>
              </a:lnTo>
              <a:lnTo>
                <a:pt x="5413890" y="2637246"/>
              </a:lnTo>
              <a:lnTo>
                <a:pt x="5460062" y="2637293"/>
              </a:lnTo>
              <a:lnTo>
                <a:pt x="5507626" y="2637304"/>
              </a:lnTo>
              <a:lnTo>
                <a:pt x="5556190" y="2637244"/>
              </a:lnTo>
              <a:lnTo>
                <a:pt x="5605363" y="2637078"/>
              </a:lnTo>
              <a:lnTo>
                <a:pt x="5654755" y="2636771"/>
              </a:lnTo>
              <a:lnTo>
                <a:pt x="5704898" y="2636316"/>
              </a:lnTo>
              <a:lnTo>
                <a:pt x="5756214" y="2635742"/>
              </a:lnTo>
              <a:lnTo>
                <a:pt x="5808138" y="2635061"/>
              </a:lnTo>
              <a:lnTo>
                <a:pt x="5860110" y="2634288"/>
              </a:lnTo>
              <a:lnTo>
                <a:pt x="5911566" y="2633437"/>
              </a:lnTo>
              <a:lnTo>
                <a:pt x="5961943" y="2632522"/>
              </a:lnTo>
              <a:lnTo>
                <a:pt x="6011666" y="2631548"/>
              </a:lnTo>
              <a:lnTo>
                <a:pt x="6061267" y="2630505"/>
              </a:lnTo>
              <a:lnTo>
                <a:pt x="6110353" y="2629384"/>
              </a:lnTo>
              <a:lnTo>
                <a:pt x="6158529" y="2628177"/>
              </a:lnTo>
              <a:lnTo>
                <a:pt x="6205398" y="2626873"/>
              </a:lnTo>
              <a:lnTo>
                <a:pt x="6250567" y="2625465"/>
              </a:lnTo>
              <a:lnTo>
                <a:pt x="6302933" y="2623610"/>
              </a:lnTo>
              <a:lnTo>
                <a:pt x="6353700" y="2621587"/>
              </a:lnTo>
              <a:lnTo>
                <a:pt x="6402446" y="2619442"/>
              </a:lnTo>
              <a:lnTo>
                <a:pt x="6448750" y="2617219"/>
              </a:lnTo>
              <a:lnTo>
                <a:pt x="6492189" y="2614964"/>
              </a:lnTo>
              <a:lnTo>
                <a:pt x="6542415" y="2612104"/>
              </a:lnTo>
              <a:lnTo>
                <a:pt x="6588545" y="2609154"/>
              </a:lnTo>
              <a:lnTo>
                <a:pt x="6630759" y="2606094"/>
              </a:lnTo>
              <a:lnTo>
                <a:pt x="6669234" y="2602905"/>
              </a:lnTo>
              <a:lnTo>
                <a:pt x="6734305" y="2596129"/>
              </a:lnTo>
              <a:lnTo>
                <a:pt x="6785513" y="2588877"/>
              </a:lnTo>
              <a:lnTo>
                <a:pt x="6824184" y="2580947"/>
              </a:lnTo>
              <a:lnTo>
                <a:pt x="6861712" y="2569323"/>
              </a:lnTo>
              <a:lnTo>
                <a:pt x="6882480" y="2554500"/>
              </a:lnTo>
              <a:lnTo>
                <a:pt x="6880376" y="2550145"/>
              </a:lnTo>
              <a:lnTo>
                <a:pt x="6877245" y="2546494"/>
              </a:lnTo>
              <a:lnTo>
                <a:pt x="6874115" y="2542843"/>
              </a:lnTo>
              <a:lnTo>
                <a:pt x="6829740" y="2530616"/>
              </a:lnTo>
              <a:lnTo>
                <a:pt x="6801816" y="2528388"/>
              </a:lnTo>
              <a:lnTo>
                <a:pt x="6791054" y="2528467"/>
              </a:lnTo>
              <a:lnTo>
                <a:pt x="6739859" y="2533670"/>
              </a:lnTo>
              <a:lnTo>
                <a:pt x="6693567" y="2541534"/>
              </a:lnTo>
              <a:lnTo>
                <a:pt x="6639826" y="2552721"/>
              </a:lnTo>
              <a:lnTo>
                <a:pt x="6600061" y="2562102"/>
              </a:lnTo>
              <a:lnTo>
                <a:pt x="6557482" y="2573408"/>
              </a:lnTo>
              <a:lnTo>
                <a:pt x="6535151" y="2579578"/>
              </a:lnTo>
              <a:lnTo>
                <a:pt x="6512201" y="2585840"/>
              </a:lnTo>
              <a:lnTo>
                <a:pt x="6488624" y="2592181"/>
              </a:lnTo>
              <a:lnTo>
                <a:pt x="6464398" y="2598689"/>
              </a:lnTo>
              <a:lnTo>
                <a:pt x="6439555" y="2605326"/>
              </a:lnTo>
              <a:lnTo>
                <a:pt x="6414130" y="2612053"/>
              </a:lnTo>
              <a:lnTo>
                <a:pt x="6388043" y="2618955"/>
              </a:lnTo>
              <a:lnTo>
                <a:pt x="6334087" y="2633066"/>
              </a:lnTo>
              <a:lnTo>
                <a:pt x="6278709" y="2646549"/>
              </a:lnTo>
              <a:lnTo>
                <a:pt x="6221910" y="2659403"/>
              </a:lnTo>
              <a:lnTo>
                <a:pt x="6163883" y="2671254"/>
              </a:lnTo>
              <a:lnTo>
                <a:pt x="6104631" y="2682104"/>
              </a:lnTo>
              <a:lnTo>
                <a:pt x="6044787" y="2691973"/>
              </a:lnTo>
              <a:lnTo>
                <a:pt x="5984351" y="2700862"/>
              </a:lnTo>
              <a:lnTo>
                <a:pt x="5925959" y="2708468"/>
              </a:lnTo>
              <a:lnTo>
                <a:pt x="5869610" y="2714789"/>
              </a:lnTo>
              <a:lnTo>
                <a:pt x="5817894" y="2719970"/>
              </a:lnTo>
              <a:lnTo>
                <a:pt x="5770812" y="2724010"/>
              </a:lnTo>
              <a:lnTo>
                <a:pt x="5730049" y="2726806"/>
              </a:lnTo>
              <a:lnTo>
                <a:pt x="5695604" y="2728359"/>
              </a:lnTo>
              <a:lnTo>
                <a:pt x="5681103" y="2728236"/>
              </a:lnTo>
              <a:lnTo>
                <a:pt x="5641606" y="2721345"/>
              </a:lnTo>
              <a:lnTo>
                <a:pt x="5631645" y="2711454"/>
              </a:lnTo>
              <a:lnTo>
                <a:pt x="5634677" y="2704347"/>
              </a:lnTo>
              <a:lnTo>
                <a:pt x="5670049" y="2670958"/>
              </a:lnTo>
              <a:lnTo>
                <a:pt x="5709639" y="2645000"/>
              </a:lnTo>
              <a:lnTo>
                <a:pt x="5760496" y="2616410"/>
              </a:lnTo>
              <a:lnTo>
                <a:pt x="5799784" y="2596451"/>
              </a:lnTo>
              <a:lnTo>
                <a:pt x="5843197" y="2575891"/>
              </a:lnTo>
              <a:lnTo>
                <a:pt x="5888112" y="2555602"/>
              </a:lnTo>
              <a:lnTo>
                <a:pt x="5934526" y="2535582"/>
              </a:lnTo>
              <a:lnTo>
                <a:pt x="5981140" y="2516147"/>
              </a:lnTo>
              <a:lnTo>
                <a:pt x="6027952" y="2497295"/>
              </a:lnTo>
              <a:lnTo>
                <a:pt x="6072353" y="2479603"/>
              </a:lnTo>
              <a:lnTo>
                <a:pt x="6093682" y="2471224"/>
              </a:lnTo>
              <a:lnTo>
                <a:pt x="6114344" y="2463072"/>
              </a:lnTo>
              <a:lnTo>
                <a:pt x="6153294" y="2447197"/>
              </a:lnTo>
              <a:lnTo>
                <a:pt x="6189205" y="2431978"/>
              </a:lnTo>
              <a:lnTo>
                <a:pt x="6235120" y="2411576"/>
              </a:lnTo>
              <a:lnTo>
                <a:pt x="6271268" y="2394062"/>
              </a:lnTo>
              <a:lnTo>
                <a:pt x="6307059" y="2373812"/>
              </a:lnTo>
              <a:lnTo>
                <a:pt x="6323414" y="2359387"/>
              </a:lnTo>
              <a:lnTo>
                <a:pt x="6321522" y="2358355"/>
              </a:lnTo>
              <a:lnTo>
                <a:pt x="6319629" y="2357324"/>
              </a:lnTo>
              <a:lnTo>
                <a:pt x="6314797" y="2357494"/>
              </a:lnTo>
              <a:lnTo>
                <a:pt x="6271705" y="2368800"/>
              </a:lnTo>
              <a:lnTo>
                <a:pt x="6232376" y="2380848"/>
              </a:lnTo>
              <a:lnTo>
                <a:pt x="6181677" y="2398132"/>
              </a:lnTo>
              <a:lnTo>
                <a:pt x="6162255" y="2404973"/>
              </a:lnTo>
              <a:lnTo>
                <a:pt x="6119512" y="2419420"/>
              </a:lnTo>
              <a:lnTo>
                <a:pt x="6071613" y="2435066"/>
              </a:lnTo>
              <a:lnTo>
                <a:pt x="6020382" y="2451159"/>
              </a:lnTo>
              <a:lnTo>
                <a:pt x="5965820" y="2467699"/>
              </a:lnTo>
              <a:lnTo>
                <a:pt x="5937974" y="2476144"/>
              </a:lnTo>
              <a:lnTo>
                <a:pt x="5909735" y="2484789"/>
              </a:lnTo>
              <a:lnTo>
                <a:pt x="5880997" y="2493609"/>
              </a:lnTo>
              <a:lnTo>
                <a:pt x="5852127" y="2502432"/>
              </a:lnTo>
              <a:lnTo>
                <a:pt x="5823498" y="2511088"/>
              </a:lnTo>
              <a:lnTo>
                <a:pt x="5794932" y="2519584"/>
              </a:lnTo>
              <a:lnTo>
                <a:pt x="5766324" y="2527994"/>
              </a:lnTo>
              <a:lnTo>
                <a:pt x="5738149" y="2536247"/>
              </a:lnTo>
              <a:lnTo>
                <a:pt x="5710880" y="2544270"/>
              </a:lnTo>
              <a:lnTo>
                <a:pt x="5684373" y="2552134"/>
              </a:lnTo>
              <a:lnTo>
                <a:pt x="5658465" y="2559846"/>
              </a:lnTo>
              <a:lnTo>
                <a:pt x="5633603" y="2567246"/>
              </a:lnTo>
              <a:lnTo>
                <a:pt x="5610232" y="2574172"/>
              </a:lnTo>
              <a:lnTo>
                <a:pt x="5588171" y="2580724"/>
              </a:lnTo>
              <a:lnTo>
                <a:pt x="5567284" y="2586941"/>
              </a:lnTo>
              <a:lnTo>
                <a:pt x="5548077" y="2592568"/>
              </a:lnTo>
              <a:lnTo>
                <a:pt x="5503284" y="2604418"/>
              </a:lnTo>
              <a:lnTo>
                <a:pt x="5474741" y="2609901"/>
              </a:lnTo>
              <a:lnTo>
                <a:pt x="5470780" y="2609262"/>
              </a:lnTo>
              <a:lnTo>
                <a:pt x="5505886" y="2592186"/>
              </a:lnTo>
              <a:lnTo>
                <a:pt x="5552487" y="2573396"/>
              </a:lnTo>
              <a:lnTo>
                <a:pt x="5593984" y="2557675"/>
              </a:lnTo>
              <a:lnTo>
                <a:pt x="5643740" y="2539505"/>
              </a:lnTo>
              <a:lnTo>
                <a:pt x="5698182" y="2520035"/>
              </a:lnTo>
              <a:lnTo>
                <a:pt x="5757310" y="2499266"/>
              </a:lnTo>
              <a:lnTo>
                <a:pt x="5817960" y="2478435"/>
              </a:lnTo>
              <a:lnTo>
                <a:pt x="5849137" y="2467966"/>
              </a:lnTo>
              <a:lnTo>
                <a:pt x="5880131" y="2457543"/>
              </a:lnTo>
              <a:lnTo>
                <a:pt x="5939285" y="2437105"/>
              </a:lnTo>
              <a:lnTo>
                <a:pt x="5995422" y="2417121"/>
              </a:lnTo>
              <a:lnTo>
                <a:pt x="6045570" y="2398696"/>
              </a:lnTo>
              <a:lnTo>
                <a:pt x="6089730" y="2381829"/>
              </a:lnTo>
              <a:lnTo>
                <a:pt x="6109476" y="2374214"/>
              </a:lnTo>
              <a:lnTo>
                <a:pt x="6127697" y="2367213"/>
              </a:lnTo>
              <a:lnTo>
                <a:pt x="6172733" y="2349469"/>
              </a:lnTo>
              <a:lnTo>
                <a:pt x="6207930" y="2333301"/>
              </a:lnTo>
              <a:lnTo>
                <a:pt x="6217806" y="2326550"/>
              </a:lnTo>
              <a:lnTo>
                <a:pt x="6216630" y="2325790"/>
              </a:lnTo>
              <a:lnTo>
                <a:pt x="6215455" y="2325031"/>
              </a:lnTo>
              <a:lnTo>
                <a:pt x="6209342" y="2326432"/>
              </a:lnTo>
              <a:lnTo>
                <a:pt x="6165854" y="2339670"/>
              </a:lnTo>
              <a:lnTo>
                <a:pt x="6128253" y="2352682"/>
              </a:lnTo>
              <a:lnTo>
                <a:pt x="6114179" y="2357584"/>
              </a:lnTo>
              <a:lnTo>
                <a:pt x="6099563" y="2362654"/>
              </a:lnTo>
              <a:lnTo>
                <a:pt x="6084269" y="2367965"/>
              </a:lnTo>
              <a:lnTo>
                <a:pt x="6068290" y="2373486"/>
              </a:lnTo>
              <a:lnTo>
                <a:pt x="6051620" y="2379186"/>
              </a:lnTo>
              <a:lnTo>
                <a:pt x="6034255" y="2385042"/>
              </a:lnTo>
              <a:lnTo>
                <a:pt x="6016198" y="2391076"/>
              </a:lnTo>
              <a:lnTo>
                <a:pt x="5997459" y="2397323"/>
              </a:lnTo>
              <a:lnTo>
                <a:pt x="5978046" y="2403821"/>
              </a:lnTo>
              <a:lnTo>
                <a:pt x="5937076" y="2417583"/>
              </a:lnTo>
              <a:lnTo>
                <a:pt x="5893642" y="2432264"/>
              </a:lnTo>
              <a:lnTo>
                <a:pt x="5848051" y="2447963"/>
              </a:lnTo>
              <a:lnTo>
                <a:pt x="5824441" y="2456091"/>
              </a:lnTo>
              <a:lnTo>
                <a:pt x="5800343" y="2464256"/>
              </a:lnTo>
              <a:lnTo>
                <a:pt x="5775607" y="2472398"/>
              </a:lnTo>
              <a:lnTo>
                <a:pt x="5750264" y="2480585"/>
              </a:lnTo>
              <a:lnTo>
                <a:pt x="5724627" y="2488904"/>
              </a:lnTo>
              <a:lnTo>
                <a:pt x="5673224" y="2506285"/>
              </a:lnTo>
              <a:lnTo>
                <a:pt x="5621397" y="2524540"/>
              </a:lnTo>
              <a:lnTo>
                <a:pt x="5571812" y="2542895"/>
              </a:lnTo>
              <a:lnTo>
                <a:pt x="5524471" y="2561351"/>
              </a:lnTo>
              <a:lnTo>
                <a:pt x="5481061" y="2578618"/>
              </a:lnTo>
              <a:lnTo>
                <a:pt x="5441580" y="2594694"/>
              </a:lnTo>
              <a:lnTo>
                <a:pt x="5390943" y="2616186"/>
              </a:lnTo>
              <a:lnTo>
                <a:pt x="5354581" y="2632947"/>
              </a:lnTo>
              <a:lnTo>
                <a:pt x="5332779" y="2646615"/>
              </a:lnTo>
              <a:lnTo>
                <a:pt x="5334498" y="2648246"/>
              </a:lnTo>
              <a:lnTo>
                <a:pt x="5380734" y="2638815"/>
              </a:lnTo>
              <a:lnTo>
                <a:pt x="5426634" y="2625681"/>
              </a:lnTo>
              <a:lnTo>
                <a:pt x="5463403" y="2614635"/>
              </a:lnTo>
              <a:lnTo>
                <a:pt x="5504793" y="2601908"/>
              </a:lnTo>
              <a:lnTo>
                <a:pt x="5547154" y="2588500"/>
              </a:lnTo>
              <a:lnTo>
                <a:pt x="5590486" y="2574409"/>
              </a:lnTo>
              <a:lnTo>
                <a:pt x="5610344" y="2567996"/>
              </a:lnTo>
              <a:lnTo>
                <a:pt x="5662352" y="2551456"/>
              </a:lnTo>
              <a:lnTo>
                <a:pt x="5700512" y="2540424"/>
              </a:lnTo>
              <a:lnTo>
                <a:pt x="5703952" y="2540166"/>
              </a:lnTo>
              <a:lnTo>
                <a:pt x="5706812" y="2540691"/>
              </a:lnTo>
              <a:lnTo>
                <a:pt x="5671464" y="2562209"/>
              </a:lnTo>
              <a:lnTo>
                <a:pt x="5615346" y="2590659"/>
              </a:lnTo>
              <a:lnTo>
                <a:pt x="5560118" y="2618071"/>
              </a:lnTo>
              <a:lnTo>
                <a:pt x="5493692" y="2649870"/>
              </a:lnTo>
              <a:lnTo>
                <a:pt x="5456380" y="2667428"/>
              </a:lnTo>
              <a:lnTo>
                <a:pt x="5416068" y="2686056"/>
              </a:lnTo>
              <a:lnTo>
                <a:pt x="5372566" y="2705668"/>
              </a:lnTo>
              <a:lnTo>
                <a:pt x="5326262" y="2726334"/>
              </a:lnTo>
              <a:lnTo>
                <a:pt x="5277109" y="2748070"/>
              </a:lnTo>
              <a:lnTo>
                <a:pt x="5224273" y="2770703"/>
              </a:lnTo>
              <a:lnTo>
                <a:pt x="5166918" y="2794061"/>
              </a:lnTo>
              <a:lnTo>
                <a:pt x="5126129" y="2810093"/>
              </a:lnTo>
              <a:lnTo>
                <a:pt x="5083553" y="2826573"/>
              </a:lnTo>
              <a:lnTo>
                <a:pt x="5039094" y="2843400"/>
              </a:lnTo>
              <a:lnTo>
                <a:pt x="4992651" y="2860475"/>
              </a:lnTo>
              <a:lnTo>
                <a:pt x="4944125" y="2877698"/>
              </a:lnTo>
              <a:lnTo>
                <a:pt x="4893420" y="2894967"/>
              </a:lnTo>
              <a:lnTo>
                <a:pt x="4848164" y="2909883"/>
              </a:lnTo>
              <a:lnTo>
                <a:pt x="4801290" y="2924997"/>
              </a:lnTo>
              <a:lnTo>
                <a:pt x="4752864" y="2940242"/>
              </a:lnTo>
              <a:lnTo>
                <a:pt x="4702953" y="2955550"/>
              </a:lnTo>
              <a:lnTo>
                <a:pt x="4651622" y="2970853"/>
              </a:lnTo>
              <a:lnTo>
                <a:pt x="4598939" y="2986084"/>
              </a:lnTo>
              <a:lnTo>
                <a:pt x="4544968" y="3001175"/>
              </a:lnTo>
              <a:lnTo>
                <a:pt x="4496625" y="3014347"/>
              </a:lnTo>
              <a:lnTo>
                <a:pt x="4447159" y="3027578"/>
              </a:lnTo>
              <a:lnTo>
                <a:pt x="4396613" y="3040810"/>
              </a:lnTo>
              <a:lnTo>
                <a:pt x="4345027" y="3053984"/>
              </a:lnTo>
              <a:lnTo>
                <a:pt x="4292445" y="3067042"/>
              </a:lnTo>
              <a:lnTo>
                <a:pt x="4238907" y="3079926"/>
              </a:lnTo>
              <a:lnTo>
                <a:pt x="4184456" y="3092578"/>
              </a:lnTo>
              <a:lnTo>
                <a:pt x="4129133" y="3104939"/>
              </a:lnTo>
              <a:lnTo>
                <a:pt x="4084115" y="3114662"/>
              </a:lnTo>
              <a:lnTo>
                <a:pt x="4038307" y="3124304"/>
              </a:lnTo>
              <a:lnTo>
                <a:pt x="3991790" y="3133847"/>
              </a:lnTo>
              <a:lnTo>
                <a:pt x="3944644" y="3143271"/>
              </a:lnTo>
              <a:lnTo>
                <a:pt x="3896948" y="3152560"/>
              </a:lnTo>
              <a:lnTo>
                <a:pt x="3848784" y="3161695"/>
              </a:lnTo>
              <a:lnTo>
                <a:pt x="3800232" y="3170656"/>
              </a:lnTo>
              <a:lnTo>
                <a:pt x="3751372" y="3179427"/>
              </a:lnTo>
              <a:lnTo>
                <a:pt x="3702284" y="3187989"/>
              </a:lnTo>
              <a:lnTo>
                <a:pt x="3653049" y="3196323"/>
              </a:lnTo>
              <a:lnTo>
                <a:pt x="3603433" y="3204458"/>
              </a:lnTo>
              <a:lnTo>
                <a:pt x="3553225" y="3212431"/>
              </a:lnTo>
              <a:lnTo>
                <a:pt x="3502534" y="3220232"/>
              </a:lnTo>
              <a:lnTo>
                <a:pt x="3451472" y="3227851"/>
              </a:lnTo>
              <a:lnTo>
                <a:pt x="3400149" y="3235279"/>
              </a:lnTo>
              <a:lnTo>
                <a:pt x="3348675" y="3242506"/>
              </a:lnTo>
              <a:lnTo>
                <a:pt x="3297162" y="3249523"/>
              </a:lnTo>
              <a:lnTo>
                <a:pt x="3245721" y="3256321"/>
              </a:lnTo>
              <a:lnTo>
                <a:pt x="3194461" y="3262889"/>
              </a:lnTo>
              <a:lnTo>
                <a:pt x="3143494" y="3269220"/>
              </a:lnTo>
              <a:lnTo>
                <a:pt x="3092545" y="3275310"/>
              </a:lnTo>
              <a:lnTo>
                <a:pt x="3041346" y="3281169"/>
              </a:lnTo>
              <a:lnTo>
                <a:pt x="2990020" y="3286804"/>
              </a:lnTo>
              <a:lnTo>
                <a:pt x="2938687" y="3292220"/>
              </a:lnTo>
              <a:lnTo>
                <a:pt x="2887470" y="3297424"/>
              </a:lnTo>
              <a:lnTo>
                <a:pt x="2836489" y="3302422"/>
              </a:lnTo>
              <a:lnTo>
                <a:pt x="2785868" y="3307220"/>
              </a:lnTo>
              <a:lnTo>
                <a:pt x="2735728" y="3311825"/>
              </a:lnTo>
              <a:lnTo>
                <a:pt x="2686189" y="3316244"/>
              </a:lnTo>
              <a:lnTo>
                <a:pt x="2637375" y="3320482"/>
              </a:lnTo>
              <a:lnTo>
                <a:pt x="2583678" y="3324966"/>
              </a:lnTo>
              <a:lnTo>
                <a:pt x="2530259" y="3329199"/>
              </a:lnTo>
              <a:lnTo>
                <a:pt x="2477251" y="3333186"/>
              </a:lnTo>
              <a:lnTo>
                <a:pt x="2424785" y="3336933"/>
              </a:lnTo>
              <a:lnTo>
                <a:pt x="2372996" y="3340443"/>
              </a:lnTo>
              <a:lnTo>
                <a:pt x="2322015" y="3343721"/>
              </a:lnTo>
              <a:lnTo>
                <a:pt x="2271976" y="3346772"/>
              </a:lnTo>
              <a:lnTo>
                <a:pt x="2223010" y="3349600"/>
              </a:lnTo>
              <a:lnTo>
                <a:pt x="2175252" y="3352211"/>
              </a:lnTo>
              <a:lnTo>
                <a:pt x="2122770" y="3354847"/>
              </a:lnTo>
              <a:lnTo>
                <a:pt x="2071370" y="3357144"/>
              </a:lnTo>
              <a:lnTo>
                <a:pt x="2021118" y="3359132"/>
              </a:lnTo>
              <a:lnTo>
                <a:pt x="1972079" y="3360844"/>
              </a:lnTo>
              <a:lnTo>
                <a:pt x="1924319" y="3362309"/>
              </a:lnTo>
              <a:lnTo>
                <a:pt x="1877904" y="3363559"/>
              </a:lnTo>
              <a:lnTo>
                <a:pt x="1832901" y="3364626"/>
              </a:lnTo>
              <a:lnTo>
                <a:pt x="1789376" y="3365540"/>
              </a:lnTo>
              <a:lnTo>
                <a:pt x="1733547" y="3366433"/>
              </a:lnTo>
              <a:lnTo>
                <a:pt x="1680120" y="3366895"/>
              </a:lnTo>
              <a:lnTo>
                <a:pt x="1629124" y="3366993"/>
              </a:lnTo>
              <a:lnTo>
                <a:pt x="1580589" y="3366795"/>
              </a:lnTo>
              <a:lnTo>
                <a:pt x="1534542" y="3366369"/>
              </a:lnTo>
              <a:lnTo>
                <a:pt x="1491015" y="3365784"/>
              </a:lnTo>
              <a:lnTo>
                <a:pt x="1430721" y="3364473"/>
              </a:lnTo>
              <a:lnTo>
                <a:pt x="1376225" y="3362589"/>
              </a:lnTo>
              <a:lnTo>
                <a:pt x="1326937" y="3360312"/>
              </a:lnTo>
              <a:lnTo>
                <a:pt x="1282269" y="3357822"/>
              </a:lnTo>
              <a:lnTo>
                <a:pt x="1242577" y="3355087"/>
              </a:lnTo>
              <a:lnTo>
                <a:pt x="1177639" y="3348797"/>
              </a:lnTo>
              <a:lnTo>
                <a:pt x="1127123" y="3342067"/>
              </a:lnTo>
              <a:lnTo>
                <a:pt x="1076558" y="3331454"/>
              </a:lnTo>
              <a:lnTo>
                <a:pt x="1032156" y="3314720"/>
              </a:lnTo>
              <a:lnTo>
                <a:pt x="1029316" y="3310313"/>
              </a:lnTo>
              <a:lnTo>
                <a:pt x="1025195" y="3306093"/>
              </a:lnTo>
              <a:lnTo>
                <a:pt x="1021074" y="3301874"/>
              </a:lnTo>
              <a:lnTo>
                <a:pt x="1020702" y="3297939"/>
              </a:lnTo>
              <a:lnTo>
                <a:pt x="1015989" y="3293630"/>
              </a:lnTo>
              <a:lnTo>
                <a:pt x="981880" y="3273688"/>
              </a:lnTo>
              <a:lnTo>
                <a:pt x="940708" y="3260135"/>
              </a:lnTo>
              <a:lnTo>
                <a:pt x="900909" y="3249224"/>
              </a:lnTo>
              <a:lnTo>
                <a:pt x="854575" y="3237560"/>
              </a:lnTo>
              <a:lnTo>
                <a:pt x="801785" y="3225168"/>
              </a:lnTo>
              <a:lnTo>
                <a:pt x="783898" y="3220900"/>
              </a:lnTo>
              <a:lnTo>
                <a:pt x="730638" y="3207585"/>
              </a:lnTo>
              <a:lnTo>
                <a:pt x="680904" y="3194619"/>
              </a:lnTo>
              <a:lnTo>
                <a:pt x="636462" y="3182372"/>
              </a:lnTo>
              <a:lnTo>
                <a:pt x="598589" y="3171200"/>
              </a:lnTo>
              <a:lnTo>
                <a:pt x="577592" y="3164883"/>
              </a:lnTo>
              <a:lnTo>
                <a:pt x="568221" y="3162051"/>
              </a:lnTo>
              <a:lnTo>
                <a:pt x="559416" y="3159455"/>
              </a:lnTo>
              <a:lnTo>
                <a:pt x="551532" y="3157109"/>
              </a:lnTo>
              <a:lnTo>
                <a:pt x="544512" y="3155002"/>
              </a:lnTo>
              <a:lnTo>
                <a:pt x="537600" y="3153112"/>
              </a:lnTo>
              <a:lnTo>
                <a:pt x="494355" y="3146593"/>
              </a:lnTo>
              <a:lnTo>
                <a:pt x="448611" y="3144201"/>
              </a:lnTo>
              <a:lnTo>
                <a:pt x="409419" y="3143518"/>
              </a:lnTo>
              <a:lnTo>
                <a:pt x="382085" y="3143396"/>
              </a:lnTo>
              <a:lnTo>
                <a:pt x="367974" y="3143429"/>
              </a:lnTo>
              <a:lnTo>
                <a:pt x="353983" y="3143505"/>
              </a:lnTo>
              <a:lnTo>
                <a:pt x="340539" y="3143601"/>
              </a:lnTo>
              <a:lnTo>
                <a:pt x="327404" y="3143682"/>
              </a:lnTo>
              <a:lnTo>
                <a:pt x="282133" y="3144667"/>
              </a:lnTo>
              <a:lnTo>
                <a:pt x="258387" y="3148212"/>
              </a:lnTo>
              <a:lnTo>
                <a:pt x="269073" y="3149381"/>
              </a:lnTo>
              <a:lnTo>
                <a:pt x="326551" y="3153575"/>
              </a:lnTo>
              <a:lnTo>
                <a:pt x="381175" y="3156381"/>
              </a:lnTo>
              <a:lnTo>
                <a:pt x="453164" y="3159364"/>
              </a:lnTo>
              <a:lnTo>
                <a:pt x="495837" y="3160726"/>
              </a:lnTo>
              <a:lnTo>
                <a:pt x="542951" y="3162039"/>
              </a:lnTo>
              <a:lnTo>
                <a:pt x="594267" y="3163415"/>
              </a:lnTo>
              <a:lnTo>
                <a:pt x="649549" y="3164965"/>
              </a:lnTo>
              <a:lnTo>
                <a:pt x="696756" y="3166336"/>
              </a:lnTo>
              <a:lnTo>
                <a:pt x="746716" y="3167781"/>
              </a:lnTo>
              <a:lnTo>
                <a:pt x="799182" y="3169321"/>
              </a:lnTo>
              <a:lnTo>
                <a:pt x="853907" y="3170975"/>
              </a:lnTo>
              <a:lnTo>
                <a:pt x="910645" y="3172762"/>
              </a:lnTo>
              <a:lnTo>
                <a:pt x="959675" y="3174355"/>
              </a:lnTo>
              <a:lnTo>
                <a:pt x="1010484" y="3176034"/>
              </a:lnTo>
              <a:lnTo>
                <a:pt x="1062805" y="3177796"/>
              </a:lnTo>
              <a:lnTo>
                <a:pt x="1116370" y="3179640"/>
              </a:lnTo>
              <a:lnTo>
                <a:pt x="1170912" y="3181565"/>
              </a:lnTo>
              <a:lnTo>
                <a:pt x="1226164" y="3183570"/>
              </a:lnTo>
              <a:lnTo>
                <a:pt x="1274344" y="3185370"/>
              </a:lnTo>
              <a:lnTo>
                <a:pt x="1323556" y="3187256"/>
              </a:lnTo>
              <a:lnTo>
                <a:pt x="1373565" y="3189206"/>
              </a:lnTo>
              <a:lnTo>
                <a:pt x="1424134" y="3191204"/>
              </a:lnTo>
              <a:lnTo>
                <a:pt x="1475027" y="3193229"/>
              </a:lnTo>
              <a:lnTo>
                <a:pt x="1526010" y="3195263"/>
              </a:lnTo>
              <a:lnTo>
                <a:pt x="1576846" y="3197287"/>
              </a:lnTo>
              <a:lnTo>
                <a:pt x="1627871" y="3199332"/>
              </a:lnTo>
              <a:lnTo>
                <a:pt x="1679408" y="3201425"/>
              </a:lnTo>
              <a:lnTo>
                <a:pt x="1731198" y="3203542"/>
              </a:lnTo>
              <a:lnTo>
                <a:pt x="1782983" y="3205657"/>
              </a:lnTo>
              <a:lnTo>
                <a:pt x="1834507" y="3207746"/>
              </a:lnTo>
              <a:lnTo>
                <a:pt x="1885512" y="3209784"/>
              </a:lnTo>
              <a:lnTo>
                <a:pt x="1935739" y="3211747"/>
              </a:lnTo>
              <a:lnTo>
                <a:pt x="1985542" y="3213651"/>
              </a:lnTo>
              <a:lnTo>
                <a:pt x="2035268" y="3215526"/>
              </a:lnTo>
              <a:lnTo>
                <a:pt x="2084649" y="3217361"/>
              </a:lnTo>
              <a:lnTo>
                <a:pt x="2133419" y="3219147"/>
              </a:lnTo>
              <a:lnTo>
                <a:pt x="2181309" y="3220875"/>
              </a:lnTo>
              <a:lnTo>
                <a:pt x="2228053" y="3222535"/>
              </a:lnTo>
              <a:lnTo>
                <a:pt x="2273383" y="3224119"/>
              </a:lnTo>
              <a:lnTo>
                <a:pt x="2324825" y="3225875"/>
              </a:lnTo>
              <a:lnTo>
                <a:pt x="2375076" y="3227544"/>
              </a:lnTo>
              <a:lnTo>
                <a:pt x="2423888" y="3229125"/>
              </a:lnTo>
              <a:lnTo>
                <a:pt x="2471012" y="3230619"/>
              </a:lnTo>
              <a:lnTo>
                <a:pt x="2516202" y="3232026"/>
              </a:lnTo>
              <a:lnTo>
                <a:pt x="2559211" y="3233345"/>
              </a:lnTo>
              <a:lnTo>
                <a:pt x="2619795" y="3235148"/>
              </a:lnTo>
              <a:lnTo>
                <a:pt x="2676031" y="3236747"/>
              </a:lnTo>
              <a:lnTo>
                <a:pt x="2727905" y="3238165"/>
              </a:lnTo>
              <a:lnTo>
                <a:pt x="2775403" y="3239429"/>
              </a:lnTo>
              <a:lnTo>
                <a:pt x="2818322" y="3240526"/>
              </a:lnTo>
              <a:lnTo>
                <a:pt x="2856737" y="3241450"/>
              </a:lnTo>
              <a:lnTo>
                <a:pt x="2921645" y="3242908"/>
              </a:lnTo>
              <a:lnTo>
                <a:pt x="2971206" y="3243895"/>
              </a:lnTo>
              <a:lnTo>
                <a:pt x="3019112" y="3244687"/>
              </a:lnTo>
              <a:lnTo>
                <a:pt x="3040990" y="3244872"/>
              </a:lnTo>
              <a:lnTo>
                <a:pt x="3036175" y="3244438"/>
              </a:lnTo>
              <a:lnTo>
                <a:pt x="3024557" y="3244559"/>
              </a:lnTo>
              <a:lnTo>
                <a:pt x="3014421" y="3244636"/>
              </a:lnTo>
              <a:lnTo>
                <a:pt x="2968258" y="3245593"/>
              </a:lnTo>
              <a:lnTo>
                <a:pt x="2924999" y="3247474"/>
              </a:lnTo>
              <a:lnTo>
                <a:pt x="2872533" y="3250359"/>
              </a:lnTo>
              <a:lnTo>
                <a:pt x="2811509" y="3254381"/>
              </a:lnTo>
              <a:lnTo>
                <a:pt x="2742573" y="3259421"/>
              </a:lnTo>
              <a:lnTo>
                <a:pt x="2666326" y="3265450"/>
              </a:lnTo>
              <a:lnTo>
                <a:pt x="2625616" y="3268805"/>
              </a:lnTo>
              <a:lnTo>
                <a:pt x="2583552" y="3272331"/>
              </a:lnTo>
              <a:lnTo>
                <a:pt x="2540093" y="3276006"/>
              </a:lnTo>
              <a:lnTo>
                <a:pt x="2495130" y="3279857"/>
              </a:lnTo>
              <a:lnTo>
                <a:pt x="2448834" y="3283914"/>
              </a:lnTo>
              <a:lnTo>
                <a:pt x="2401376" y="3288210"/>
              </a:lnTo>
              <a:lnTo>
                <a:pt x="2352474" y="3292870"/>
              </a:lnTo>
              <a:lnTo>
                <a:pt x="2302145" y="3297838"/>
              </a:lnTo>
              <a:lnTo>
                <a:pt x="2251012" y="3302873"/>
              </a:lnTo>
              <a:lnTo>
                <a:pt x="2199694" y="3307734"/>
              </a:lnTo>
              <a:lnTo>
                <a:pt x="2147962" y="3312360"/>
              </a:lnTo>
              <a:lnTo>
                <a:pt x="2095618" y="3316878"/>
              </a:lnTo>
              <a:lnTo>
                <a:pt x="2043326" y="3321331"/>
              </a:lnTo>
              <a:lnTo>
                <a:pt x="1991748" y="3325762"/>
              </a:lnTo>
              <a:lnTo>
                <a:pt x="1940749" y="3330242"/>
              </a:lnTo>
              <a:lnTo>
                <a:pt x="1890079" y="3334729"/>
              </a:lnTo>
              <a:lnTo>
                <a:pt x="1840233" y="3339096"/>
              </a:lnTo>
              <a:lnTo>
                <a:pt x="1791711" y="3343217"/>
              </a:lnTo>
              <a:lnTo>
                <a:pt x="1744429" y="3347053"/>
              </a:lnTo>
              <a:lnTo>
                <a:pt x="1698195" y="3350673"/>
              </a:lnTo>
              <a:lnTo>
                <a:pt x="1653337" y="3354115"/>
              </a:lnTo>
              <a:lnTo>
                <a:pt x="1610184" y="3357418"/>
              </a:lnTo>
              <a:lnTo>
                <a:pt x="1568734" y="3360609"/>
              </a:lnTo>
              <a:lnTo>
                <a:pt x="1528842" y="3363661"/>
              </a:lnTo>
              <a:lnTo>
                <a:pt x="1490621" y="3366536"/>
              </a:lnTo>
              <a:lnTo>
                <a:pt x="1419518" y="3371638"/>
              </a:lnTo>
              <a:lnTo>
                <a:pt x="1355426" y="3375914"/>
              </a:lnTo>
              <a:lnTo>
                <a:pt x="1298704" y="3379415"/>
              </a:lnTo>
              <a:lnTo>
                <a:pt x="1249351" y="3382139"/>
              </a:lnTo>
              <a:lnTo>
                <a:pt x="1207107" y="3384244"/>
              </a:lnTo>
              <a:lnTo>
                <a:pt x="1156696" y="3386306"/>
              </a:lnTo>
              <a:lnTo>
                <a:pt x="1110551" y="3387593"/>
              </a:lnTo>
              <a:lnTo>
                <a:pt x="1099326" y="3387570"/>
              </a:lnTo>
              <a:lnTo>
                <a:pt x="1091307" y="3387369"/>
              </a:lnTo>
              <a:lnTo>
                <a:pt x="1089351" y="3386167"/>
              </a:lnTo>
              <a:lnTo>
                <a:pt x="1087395" y="3384966"/>
              </a:lnTo>
              <a:lnTo>
                <a:pt x="1127193" y="3373089"/>
              </a:lnTo>
              <a:lnTo>
                <a:pt x="1177725" y="3363504"/>
              </a:lnTo>
              <a:lnTo>
                <a:pt x="1224222" y="3356233"/>
              </a:lnTo>
              <a:lnTo>
                <a:pt x="1281014" y="3348654"/>
              </a:lnTo>
              <a:lnTo>
                <a:pt x="1348645" y="3341186"/>
              </a:lnTo>
              <a:lnTo>
                <a:pt x="1386969" y="3337709"/>
              </a:lnTo>
              <a:lnTo>
                <a:pt x="1428227" y="3334337"/>
              </a:lnTo>
              <a:lnTo>
                <a:pt x="1472064" y="3331129"/>
              </a:lnTo>
              <a:lnTo>
                <a:pt x="1518126" y="3328141"/>
              </a:lnTo>
              <a:lnTo>
                <a:pt x="1567046" y="3325381"/>
              </a:lnTo>
              <a:lnTo>
                <a:pt x="1618771" y="3322821"/>
              </a:lnTo>
              <a:lnTo>
                <a:pt x="1671914" y="3320465"/>
              </a:lnTo>
              <a:lnTo>
                <a:pt x="1725085" y="3318314"/>
              </a:lnTo>
              <a:lnTo>
                <a:pt x="1778698" y="3316383"/>
              </a:lnTo>
              <a:lnTo>
                <a:pt x="1833233" y="3314664"/>
              </a:lnTo>
              <a:lnTo>
                <a:pt x="1887401" y="3313134"/>
              </a:lnTo>
              <a:lnTo>
                <a:pt x="1939912" y="3311768"/>
              </a:lnTo>
              <a:lnTo>
                <a:pt x="1990988" y="3310617"/>
              </a:lnTo>
              <a:lnTo>
                <a:pt x="2041126" y="3309674"/>
              </a:lnTo>
              <a:lnTo>
                <a:pt x="2089459" y="3308830"/>
              </a:lnTo>
              <a:lnTo>
                <a:pt x="2135120" y="3307974"/>
              </a:lnTo>
              <a:lnTo>
                <a:pt x="2178218" y="3307118"/>
              </a:lnTo>
              <a:lnTo>
                <a:pt x="2219103" y="3306306"/>
              </a:lnTo>
              <a:lnTo>
                <a:pt x="2257265" y="3305480"/>
              </a:lnTo>
              <a:lnTo>
                <a:pt x="2323965" y="3303576"/>
              </a:lnTo>
              <a:lnTo>
                <a:pt x="2378317" y="3301405"/>
              </a:lnTo>
              <a:lnTo>
                <a:pt x="2418520" y="3299361"/>
              </a:lnTo>
              <a:lnTo>
                <a:pt x="2460781" y="3294965"/>
              </a:lnTo>
              <a:lnTo>
                <a:pt x="2460221" y="3293185"/>
              </a:lnTo>
              <a:lnTo>
                <a:pt x="2411302" y="3288347"/>
              </a:lnTo>
              <a:lnTo>
                <a:pt x="2368210" y="3286401"/>
              </a:lnTo>
              <a:lnTo>
                <a:pt x="2311379" y="3284698"/>
              </a:lnTo>
              <a:lnTo>
                <a:pt x="2244963" y="3283263"/>
              </a:lnTo>
              <a:lnTo>
                <a:pt x="2168960" y="3282095"/>
              </a:lnTo>
              <a:lnTo>
                <a:pt x="2128514" y="3281598"/>
              </a:lnTo>
              <a:lnTo>
                <a:pt x="2086254" y="3281160"/>
              </a:lnTo>
              <a:lnTo>
                <a:pt x="2042045" y="3280783"/>
              </a:lnTo>
              <a:lnTo>
                <a:pt x="1996846" y="3280457"/>
              </a:lnTo>
              <a:lnTo>
                <a:pt x="1951611" y="3280172"/>
              </a:lnTo>
              <a:lnTo>
                <a:pt x="1906279" y="3279931"/>
              </a:lnTo>
              <a:lnTo>
                <a:pt x="1860443" y="3279738"/>
              </a:lnTo>
              <a:lnTo>
                <a:pt x="1814553" y="3279581"/>
              </a:lnTo>
              <a:lnTo>
                <a:pt x="1769056" y="3279450"/>
              </a:lnTo>
              <a:lnTo>
                <a:pt x="1723967" y="3279348"/>
              </a:lnTo>
              <a:lnTo>
                <a:pt x="1679083" y="3279279"/>
              </a:lnTo>
              <a:lnTo>
                <a:pt x="1634521" y="3279234"/>
              </a:lnTo>
              <a:lnTo>
                <a:pt x="1590396" y="3279202"/>
              </a:lnTo>
              <a:lnTo>
                <a:pt x="1546726" y="3279188"/>
              </a:lnTo>
              <a:lnTo>
                <a:pt x="1503452" y="3279193"/>
              </a:lnTo>
              <a:lnTo>
                <a:pt x="1460582" y="3279211"/>
              </a:lnTo>
              <a:lnTo>
                <a:pt x="1418124" y="3279235"/>
              </a:lnTo>
              <a:lnTo>
                <a:pt x="1376027" y="3279266"/>
              </a:lnTo>
              <a:lnTo>
                <a:pt x="1334305" y="3279307"/>
              </a:lnTo>
              <a:lnTo>
                <a:pt x="1293061" y="3279354"/>
              </a:lnTo>
              <a:lnTo>
                <a:pt x="1252399" y="3279401"/>
              </a:lnTo>
              <a:lnTo>
                <a:pt x="1212344" y="3279450"/>
              </a:lnTo>
              <a:lnTo>
                <a:pt x="1172843" y="3279502"/>
              </a:lnTo>
              <a:lnTo>
                <a:pt x="1133878" y="3279555"/>
              </a:lnTo>
              <a:lnTo>
                <a:pt x="1095429" y="3279606"/>
              </a:lnTo>
              <a:lnTo>
                <a:pt x="1057456" y="3279655"/>
              </a:lnTo>
              <a:lnTo>
                <a:pt x="1019982" y="3279704"/>
              </a:lnTo>
              <a:lnTo>
                <a:pt x="983081" y="3279751"/>
              </a:lnTo>
              <a:lnTo>
                <a:pt x="911112" y="3279837"/>
              </a:lnTo>
              <a:lnTo>
                <a:pt x="841550" y="3279912"/>
              </a:lnTo>
              <a:lnTo>
                <a:pt x="775975" y="3279975"/>
              </a:lnTo>
              <a:lnTo>
                <a:pt x="714390" y="3280027"/>
              </a:lnTo>
              <a:lnTo>
                <a:pt x="657044" y="3280069"/>
              </a:lnTo>
              <a:lnTo>
                <a:pt x="603940" y="3280100"/>
              </a:lnTo>
              <a:lnTo>
                <a:pt x="556811" y="3280124"/>
              </a:lnTo>
              <a:lnTo>
                <a:pt x="515658" y="3280140"/>
              </a:lnTo>
              <a:lnTo>
                <a:pt x="497337" y="3280146"/>
              </a:lnTo>
              <a:lnTo>
                <a:pt x="480586" y="3280113"/>
              </a:lnTo>
              <a:lnTo>
                <a:pt x="465371" y="3280052"/>
              </a:lnTo>
              <a:lnTo>
                <a:pt x="451594" y="3280042"/>
              </a:lnTo>
              <a:lnTo>
                <a:pt x="409782" y="3281297"/>
              </a:lnTo>
              <a:lnTo>
                <a:pt x="389157" y="3283225"/>
              </a:lnTo>
              <a:lnTo>
                <a:pt x="390237" y="3283924"/>
              </a:lnTo>
              <a:lnTo>
                <a:pt x="391316" y="3284623"/>
              </a:lnTo>
              <a:lnTo>
                <a:pt x="432987" y="3286851"/>
              </a:lnTo>
              <a:lnTo>
                <a:pt x="488461" y="3287956"/>
              </a:lnTo>
              <a:lnTo>
                <a:pt x="539706" y="3288539"/>
              </a:lnTo>
              <a:lnTo>
                <a:pt x="569908" y="3288789"/>
              </a:lnTo>
              <a:lnTo>
                <a:pt x="603172" y="3289086"/>
              </a:lnTo>
              <a:lnTo>
                <a:pt x="639439" y="3289405"/>
              </a:lnTo>
              <a:lnTo>
                <a:pt x="678861" y="3289599"/>
              </a:lnTo>
              <a:lnTo>
                <a:pt x="721592" y="3289519"/>
              </a:lnTo>
              <a:lnTo>
                <a:pt x="768016" y="3289127"/>
              </a:lnTo>
              <a:lnTo>
                <a:pt x="817938" y="3288500"/>
              </a:lnTo>
              <a:lnTo>
                <a:pt x="870638" y="3287670"/>
              </a:lnTo>
              <a:lnTo>
                <a:pt x="925399" y="3286666"/>
              </a:lnTo>
              <a:lnTo>
                <a:pt x="970799" y="3285809"/>
              </a:lnTo>
              <a:lnTo>
                <a:pt x="1017894" y="3284899"/>
              </a:lnTo>
              <a:lnTo>
                <a:pt x="1066348" y="3283840"/>
              </a:lnTo>
              <a:lnTo>
                <a:pt x="1115830" y="3282535"/>
              </a:lnTo>
              <a:lnTo>
                <a:pt x="1166004" y="3280886"/>
              </a:lnTo>
              <a:lnTo>
                <a:pt x="1217381" y="3278831"/>
              </a:lnTo>
              <a:lnTo>
                <a:pt x="1270183" y="3276432"/>
              </a:lnTo>
              <a:lnTo>
                <a:pt x="1323646" y="3273787"/>
              </a:lnTo>
              <a:lnTo>
                <a:pt x="1377002" y="3270993"/>
              </a:lnTo>
              <a:lnTo>
                <a:pt x="1429486" y="3268145"/>
              </a:lnTo>
              <a:lnTo>
                <a:pt x="1481510" y="3265205"/>
              </a:lnTo>
              <a:lnTo>
                <a:pt x="1533585" y="3262107"/>
              </a:lnTo>
              <a:lnTo>
                <a:pt x="1585091" y="3258912"/>
              </a:lnTo>
              <a:lnTo>
                <a:pt x="1635412" y="3255679"/>
              </a:lnTo>
              <a:lnTo>
                <a:pt x="1683928" y="3252470"/>
              </a:lnTo>
              <a:lnTo>
                <a:pt x="1742491" y="3248416"/>
              </a:lnTo>
              <a:lnTo>
                <a:pt x="1799138" y="3244290"/>
              </a:lnTo>
              <a:lnTo>
                <a:pt x="1853089" y="3240229"/>
              </a:lnTo>
              <a:lnTo>
                <a:pt x="1903560" y="3236372"/>
              </a:lnTo>
              <a:lnTo>
                <a:pt x="1950716" y="3232718"/>
              </a:lnTo>
              <a:lnTo>
                <a:pt x="1994849" y="3229205"/>
              </a:lnTo>
              <a:lnTo>
                <a:pt x="2035371" y="3225882"/>
              </a:lnTo>
              <a:lnTo>
                <a:pt x="2103798" y="3219890"/>
              </a:lnTo>
              <a:lnTo>
                <a:pt x="2155999" y="3214741"/>
              </a:lnTo>
              <a:lnTo>
                <a:pt x="2175767" y="3212797"/>
              </a:lnTo>
              <a:lnTo>
                <a:pt x="2191041" y="3211337"/>
              </a:lnTo>
              <a:lnTo>
                <a:pt x="2201966" y="3210290"/>
              </a:lnTo>
              <a:lnTo>
                <a:pt x="2208922" y="3209678"/>
              </a:lnTo>
              <a:lnTo>
                <a:pt x="2212291" y="3209520"/>
              </a:lnTo>
              <a:lnTo>
                <a:pt x="2211804" y="3209843"/>
              </a:lnTo>
              <a:lnTo>
                <a:pt x="2207381" y="3210629"/>
              </a:lnTo>
              <a:lnTo>
                <a:pt x="2199685" y="3211831"/>
              </a:lnTo>
              <a:lnTo>
                <a:pt x="2189382" y="3213403"/>
              </a:lnTo>
              <a:lnTo>
                <a:pt x="2176310" y="3215334"/>
              </a:lnTo>
              <a:lnTo>
                <a:pt x="2160229" y="3217650"/>
              </a:lnTo>
              <a:lnTo>
                <a:pt x="2141679" y="3220352"/>
              </a:lnTo>
              <a:lnTo>
                <a:pt x="2098728" y="3226878"/>
              </a:lnTo>
              <a:lnTo>
                <a:pt x="2047458" y="3234912"/>
              </a:lnTo>
              <a:lnTo>
                <a:pt x="1989383" y="3245080"/>
              </a:lnTo>
              <a:lnTo>
                <a:pt x="1924505" y="3257383"/>
              </a:lnTo>
              <a:lnTo>
                <a:pt x="1854699" y="3272288"/>
              </a:lnTo>
              <a:lnTo>
                <a:pt x="1779965" y="3289797"/>
              </a:lnTo>
              <a:lnTo>
                <a:pt x="1742086" y="3298915"/>
              </a:lnTo>
              <a:lnTo>
                <a:pt x="1704042" y="3308221"/>
              </a:lnTo>
              <a:lnTo>
                <a:pt x="1665560" y="3317825"/>
              </a:lnTo>
              <a:lnTo>
                <a:pt x="1626930" y="3327559"/>
              </a:lnTo>
              <a:lnTo>
                <a:pt x="1588439" y="3337254"/>
              </a:lnTo>
              <a:lnTo>
                <a:pt x="1549991" y="3346888"/>
              </a:lnTo>
              <a:lnTo>
                <a:pt x="1511489" y="3356542"/>
              </a:lnTo>
              <a:lnTo>
                <a:pt x="1473225" y="3366207"/>
              </a:lnTo>
              <a:lnTo>
                <a:pt x="1435489" y="3375872"/>
              </a:lnTo>
              <a:lnTo>
                <a:pt x="1398209" y="3385613"/>
              </a:lnTo>
              <a:lnTo>
                <a:pt x="1361278" y="3395411"/>
              </a:lnTo>
              <a:lnTo>
                <a:pt x="1324941" y="3405107"/>
              </a:lnTo>
              <a:lnTo>
                <a:pt x="1289439" y="3414544"/>
              </a:lnTo>
              <a:lnTo>
                <a:pt x="1254686" y="3423721"/>
              </a:lnTo>
              <a:lnTo>
                <a:pt x="1220604" y="3432709"/>
              </a:lnTo>
              <a:lnTo>
                <a:pt x="1187444" y="3441456"/>
              </a:lnTo>
              <a:lnTo>
                <a:pt x="1155460" y="3449909"/>
              </a:lnTo>
              <a:lnTo>
                <a:pt x="1124587" y="3458092"/>
              </a:lnTo>
              <a:lnTo>
                <a:pt x="1094733" y="3466021"/>
              </a:lnTo>
              <a:lnTo>
                <a:pt x="1066115" y="3473629"/>
              </a:lnTo>
              <a:lnTo>
                <a:pt x="1038947" y="3480848"/>
              </a:lnTo>
              <a:lnTo>
                <a:pt x="1013223" y="3487700"/>
              </a:lnTo>
              <a:lnTo>
                <a:pt x="988850" y="3494207"/>
              </a:lnTo>
              <a:lnTo>
                <a:pt x="965912" y="3500306"/>
              </a:lnTo>
              <a:lnTo>
                <a:pt x="944491" y="3505936"/>
              </a:lnTo>
              <a:lnTo>
                <a:pt x="924411" y="3511071"/>
              </a:lnTo>
              <a:lnTo>
                <a:pt x="905693" y="3515748"/>
              </a:lnTo>
              <a:lnTo>
                <a:pt x="888721" y="3519993"/>
              </a:lnTo>
              <a:lnTo>
                <a:pt x="849961" y="3530405"/>
              </a:lnTo>
              <a:lnTo>
                <a:pt x="829056" y="3538002"/>
              </a:lnTo>
              <a:lnTo>
                <a:pt x="838740" y="3537876"/>
              </a:lnTo>
              <a:lnTo>
                <a:pt x="847283" y="3537495"/>
              </a:lnTo>
              <a:lnTo>
                <a:pt x="858812" y="3536659"/>
              </a:lnTo>
              <a:lnTo>
                <a:pt x="873972" y="3535545"/>
              </a:lnTo>
              <a:lnTo>
                <a:pt x="893404" y="3534331"/>
              </a:lnTo>
              <a:lnTo>
                <a:pt x="916898" y="3533066"/>
              </a:lnTo>
              <a:lnTo>
                <a:pt x="944237" y="3531655"/>
              </a:lnTo>
              <a:lnTo>
                <a:pt x="976061" y="3530056"/>
              </a:lnTo>
              <a:lnTo>
                <a:pt x="1013011" y="3528224"/>
              </a:lnTo>
              <a:lnTo>
                <a:pt x="1055459" y="3526074"/>
              </a:lnTo>
              <a:lnTo>
                <a:pt x="1102998" y="3523653"/>
              </a:lnTo>
              <a:lnTo>
                <a:pt x="1155092" y="3521121"/>
              </a:lnTo>
              <a:lnTo>
                <a:pt x="1211208" y="3518634"/>
              </a:lnTo>
              <a:lnTo>
                <a:pt x="1259340" y="3516675"/>
              </a:lnTo>
              <a:lnTo>
                <a:pt x="1310589" y="3514684"/>
              </a:lnTo>
              <a:lnTo>
                <a:pt x="1364311" y="3512703"/>
              </a:lnTo>
              <a:lnTo>
                <a:pt x="1419862" y="3510772"/>
              </a:lnTo>
              <a:lnTo>
                <a:pt x="1476597" y="3508932"/>
              </a:lnTo>
              <a:lnTo>
                <a:pt x="1525173" y="3507464"/>
              </a:lnTo>
              <a:lnTo>
                <a:pt x="1575377" y="3506031"/>
              </a:lnTo>
              <a:lnTo>
                <a:pt x="1626702" y="3504643"/>
              </a:lnTo>
              <a:lnTo>
                <a:pt x="1678641" y="3503307"/>
              </a:lnTo>
              <a:lnTo>
                <a:pt x="1730686" y="3502031"/>
              </a:lnTo>
              <a:lnTo>
                <a:pt x="1782332" y="3500824"/>
              </a:lnTo>
              <a:lnTo>
                <a:pt x="1834069" y="3499685"/>
              </a:lnTo>
              <a:lnTo>
                <a:pt x="1886401" y="3498608"/>
              </a:lnTo>
              <a:lnTo>
                <a:pt x="1938840" y="3497591"/>
              </a:lnTo>
              <a:lnTo>
                <a:pt x="1990898" y="3496633"/>
              </a:lnTo>
              <a:lnTo>
                <a:pt x="2042088" y="3495734"/>
              </a:lnTo>
              <a:lnTo>
                <a:pt x="2091923" y="3494892"/>
              </a:lnTo>
              <a:lnTo>
                <a:pt x="2150520" y="3493963"/>
              </a:lnTo>
              <a:lnTo>
                <a:pt x="2208296" y="3493124"/>
              </a:lnTo>
              <a:lnTo>
                <a:pt x="2264607" y="3492367"/>
              </a:lnTo>
              <a:lnTo>
                <a:pt x="2318810" y="3491680"/>
              </a:lnTo>
              <a:lnTo>
                <a:pt x="2370260" y="3491055"/>
              </a:lnTo>
              <a:lnTo>
                <a:pt x="2430929" y="3490373"/>
              </a:lnTo>
              <a:lnTo>
                <a:pt x="2488073" y="3489805"/>
              </a:lnTo>
              <a:lnTo>
                <a:pt x="2541374" y="3489328"/>
              </a:lnTo>
              <a:lnTo>
                <a:pt x="2590516" y="3488919"/>
              </a:lnTo>
              <a:lnTo>
                <a:pt x="2635495" y="3488585"/>
              </a:lnTo>
              <a:lnTo>
                <a:pt x="2676451" y="3488334"/>
              </a:lnTo>
              <a:lnTo>
                <a:pt x="2745909" y="3487996"/>
              </a:lnTo>
              <a:lnTo>
                <a:pt x="2798359" y="3487843"/>
              </a:lnTo>
              <a:lnTo>
                <a:pt x="2818359" y="3487829"/>
              </a:lnTo>
              <a:lnTo>
                <a:pt x="2834349" y="3487836"/>
              </a:lnTo>
              <a:lnTo>
                <a:pt x="2846139" y="3487866"/>
              </a:lnTo>
              <a:lnTo>
                <a:pt x="2853745" y="3487926"/>
              </a:lnTo>
              <a:lnTo>
                <a:pt x="2857583" y="3488003"/>
              </a:lnTo>
              <a:lnTo>
                <a:pt x="2858070" y="3488086"/>
              </a:lnTo>
              <a:lnTo>
                <a:pt x="2855025" y="3488177"/>
              </a:lnTo>
              <a:lnTo>
                <a:pt x="2810635" y="3488604"/>
              </a:lnTo>
              <a:lnTo>
                <a:pt x="2771541" y="3488819"/>
              </a:lnTo>
              <a:lnTo>
                <a:pt x="2723729" y="3488978"/>
              </a:lnTo>
              <a:lnTo>
                <a:pt x="2696500" y="3489007"/>
              </a:lnTo>
              <a:lnTo>
                <a:pt x="2667199" y="3489081"/>
              </a:lnTo>
              <a:lnTo>
                <a:pt x="2636033" y="3489276"/>
              </a:lnTo>
              <a:lnTo>
                <a:pt x="2603050" y="3489629"/>
              </a:lnTo>
              <a:lnTo>
                <a:pt x="2568143" y="3490094"/>
              </a:lnTo>
              <a:lnTo>
                <a:pt x="2531281" y="3490621"/>
              </a:lnTo>
              <a:lnTo>
                <a:pt x="2492435" y="3491159"/>
              </a:lnTo>
              <a:lnTo>
                <a:pt x="2451558" y="3491713"/>
              </a:lnTo>
              <a:lnTo>
                <a:pt x="2408679" y="3492305"/>
              </a:lnTo>
              <a:lnTo>
                <a:pt x="2363883" y="3492905"/>
              </a:lnTo>
              <a:lnTo>
                <a:pt x="2317253" y="3493484"/>
              </a:lnTo>
              <a:lnTo>
                <a:pt x="2268894" y="3494083"/>
              </a:lnTo>
              <a:lnTo>
                <a:pt x="2218732" y="3494701"/>
              </a:lnTo>
              <a:lnTo>
                <a:pt x="2166592" y="3495248"/>
              </a:lnTo>
              <a:lnTo>
                <a:pt x="2112298" y="3495636"/>
              </a:lnTo>
              <a:lnTo>
                <a:pt x="2067170" y="3495827"/>
              </a:lnTo>
              <a:lnTo>
                <a:pt x="2020588" y="3495945"/>
              </a:lnTo>
              <a:lnTo>
                <a:pt x="1972722" y="3495975"/>
              </a:lnTo>
              <a:lnTo>
                <a:pt x="1923740" y="3495904"/>
              </a:lnTo>
              <a:lnTo>
                <a:pt x="1873812" y="3495716"/>
              </a:lnTo>
              <a:lnTo>
                <a:pt x="1822785" y="3495434"/>
              </a:lnTo>
              <a:lnTo>
                <a:pt x="1770544" y="3495070"/>
              </a:lnTo>
              <a:lnTo>
                <a:pt x="1717321" y="3494587"/>
              </a:lnTo>
              <a:lnTo>
                <a:pt x="1663349" y="3493950"/>
              </a:lnTo>
              <a:lnTo>
                <a:pt x="1608859" y="3493125"/>
              </a:lnTo>
              <a:lnTo>
                <a:pt x="1562789" y="3492273"/>
              </a:lnTo>
              <a:lnTo>
                <a:pt x="1515919" y="3491284"/>
              </a:lnTo>
              <a:lnTo>
                <a:pt x="1468583" y="3490180"/>
              </a:lnTo>
              <a:lnTo>
                <a:pt x="1421111" y="3488983"/>
              </a:lnTo>
              <a:lnTo>
                <a:pt x="1373836" y="3487715"/>
              </a:lnTo>
              <a:lnTo>
                <a:pt x="1327090" y="3486399"/>
              </a:lnTo>
              <a:lnTo>
                <a:pt x="1271284" y="3484703"/>
              </a:lnTo>
              <a:lnTo>
                <a:pt x="1215459" y="3482860"/>
              </a:lnTo>
              <a:lnTo>
                <a:pt x="1160068" y="3480938"/>
              </a:lnTo>
              <a:lnTo>
                <a:pt x="1105563" y="3479005"/>
              </a:lnTo>
              <a:lnTo>
                <a:pt x="1052397" y="3477130"/>
              </a:lnTo>
              <a:lnTo>
                <a:pt x="1000308" y="3475317"/>
              </a:lnTo>
              <a:lnTo>
                <a:pt x="948994" y="3473519"/>
              </a:lnTo>
              <a:lnTo>
                <a:pt x="898847" y="3471732"/>
              </a:lnTo>
              <a:lnTo>
                <a:pt x="850262" y="3469949"/>
              </a:lnTo>
              <a:lnTo>
                <a:pt x="803629" y="3468165"/>
              </a:lnTo>
              <a:lnTo>
                <a:pt x="747793" y="3465897"/>
              </a:lnTo>
              <a:lnTo>
                <a:pt x="694432" y="3463610"/>
              </a:lnTo>
              <a:lnTo>
                <a:pt x="644050" y="3461372"/>
              </a:lnTo>
              <a:lnTo>
                <a:pt x="597147" y="3459255"/>
              </a:lnTo>
              <a:lnTo>
                <a:pt x="553856" y="3457257"/>
              </a:lnTo>
              <a:lnTo>
                <a:pt x="513909" y="3455348"/>
              </a:lnTo>
              <a:lnTo>
                <a:pt x="443668" y="3451888"/>
              </a:lnTo>
              <a:lnTo>
                <a:pt x="385940" y="3448969"/>
              </a:lnTo>
              <a:lnTo>
                <a:pt x="341162" y="3446544"/>
              </a:lnTo>
              <a:lnTo>
                <a:pt x="298940" y="3443823"/>
              </a:lnTo>
              <a:lnTo>
                <a:pt x="283171" y="3442237"/>
              </a:lnTo>
              <a:lnTo>
                <a:pt x="283239" y="3441685"/>
              </a:lnTo>
              <a:lnTo>
                <a:pt x="327169" y="3440574"/>
              </a:lnTo>
              <a:lnTo>
                <a:pt x="369936" y="3440366"/>
              </a:lnTo>
              <a:lnTo>
                <a:pt x="429003" y="3440326"/>
              </a:lnTo>
              <a:lnTo>
                <a:pt x="464679" y="3440340"/>
              </a:lnTo>
              <a:lnTo>
                <a:pt x="504345" y="3440373"/>
              </a:lnTo>
              <a:lnTo>
                <a:pt x="548016" y="3440432"/>
              </a:lnTo>
              <a:lnTo>
                <a:pt x="595959" y="3440507"/>
              </a:lnTo>
              <a:lnTo>
                <a:pt x="648443" y="3440587"/>
              </a:lnTo>
              <a:lnTo>
                <a:pt x="693733" y="3440656"/>
              </a:lnTo>
              <a:lnTo>
                <a:pt x="741865" y="3440731"/>
              </a:lnTo>
              <a:lnTo>
                <a:pt x="792848" y="3440812"/>
              </a:lnTo>
              <a:lnTo>
                <a:pt x="846695" y="3440893"/>
              </a:lnTo>
              <a:lnTo>
                <a:pt x="903417" y="3440973"/>
              </a:lnTo>
              <a:lnTo>
                <a:pt x="953076" y="3441038"/>
              </a:lnTo>
              <a:lnTo>
                <a:pt x="1004959" y="3441104"/>
              </a:lnTo>
              <a:lnTo>
                <a:pt x="1058834" y="3441171"/>
              </a:lnTo>
              <a:lnTo>
                <a:pt x="1114466" y="3441236"/>
              </a:lnTo>
              <a:lnTo>
                <a:pt x="1171623" y="3441300"/>
              </a:lnTo>
              <a:lnTo>
                <a:pt x="1230069" y="3441361"/>
              </a:lnTo>
              <a:lnTo>
                <a:pt x="1274902" y="3441405"/>
              </a:lnTo>
              <a:lnTo>
                <a:pt x="1320797" y="3441448"/>
              </a:lnTo>
              <a:lnTo>
                <a:pt x="1367631" y="3441491"/>
              </a:lnTo>
              <a:lnTo>
                <a:pt x="1415281" y="3441532"/>
              </a:lnTo>
              <a:lnTo>
                <a:pt x="1463625" y="3441573"/>
              </a:lnTo>
              <a:lnTo>
                <a:pt x="1512539" y="3441612"/>
              </a:lnTo>
              <a:lnTo>
                <a:pt x="1561901" y="3441649"/>
              </a:lnTo>
              <a:lnTo>
                <a:pt x="1611588" y="3441685"/>
              </a:lnTo>
              <a:lnTo>
                <a:pt x="1661838" y="3441719"/>
              </a:lnTo>
              <a:lnTo>
                <a:pt x="1712871" y="3441752"/>
              </a:lnTo>
              <a:lnTo>
                <a:pt x="1764535" y="3441784"/>
              </a:lnTo>
              <a:lnTo>
                <a:pt x="1816679" y="3441814"/>
              </a:lnTo>
              <a:lnTo>
                <a:pt x="1869148" y="3441843"/>
              </a:lnTo>
              <a:lnTo>
                <a:pt x="1921793" y="3441870"/>
              </a:lnTo>
              <a:lnTo>
                <a:pt x="1974459" y="3441897"/>
              </a:lnTo>
              <a:lnTo>
                <a:pt x="2026995" y="3441922"/>
              </a:lnTo>
              <a:lnTo>
                <a:pt x="2079786" y="3441945"/>
              </a:lnTo>
              <a:lnTo>
                <a:pt x="2133142" y="3441967"/>
              </a:lnTo>
              <a:lnTo>
                <a:pt x="2186797" y="3441988"/>
              </a:lnTo>
              <a:lnTo>
                <a:pt x="2240488" y="3442007"/>
              </a:lnTo>
              <a:lnTo>
                <a:pt x="2293950" y="3442025"/>
              </a:lnTo>
              <a:lnTo>
                <a:pt x="2346919" y="3442042"/>
              </a:lnTo>
              <a:lnTo>
                <a:pt x="2399130" y="3442059"/>
              </a:lnTo>
              <a:lnTo>
                <a:pt x="2450320" y="3442074"/>
              </a:lnTo>
              <a:lnTo>
                <a:pt x="2500840" y="3442099"/>
              </a:lnTo>
              <a:lnTo>
                <a:pt x="2551097" y="3442139"/>
              </a:lnTo>
              <a:lnTo>
                <a:pt x="2600898" y="3442184"/>
              </a:lnTo>
              <a:lnTo>
                <a:pt x="2650055" y="3442225"/>
              </a:lnTo>
              <a:lnTo>
                <a:pt x="2698377" y="3442252"/>
              </a:lnTo>
              <a:lnTo>
                <a:pt x="2745673" y="3442257"/>
              </a:lnTo>
              <a:lnTo>
                <a:pt x="2791755" y="3442229"/>
              </a:lnTo>
              <a:lnTo>
                <a:pt x="2836432" y="3442159"/>
              </a:lnTo>
              <a:lnTo>
                <a:pt x="2894193" y="3441998"/>
              </a:lnTo>
              <a:lnTo>
                <a:pt x="2950239" y="3441776"/>
              </a:lnTo>
              <a:lnTo>
                <a:pt x="3004349" y="3441507"/>
              </a:lnTo>
              <a:lnTo>
                <a:pt x="3056306" y="3441207"/>
              </a:lnTo>
              <a:lnTo>
                <a:pt x="3105891" y="3440891"/>
              </a:lnTo>
              <a:lnTo>
                <a:pt x="3152886" y="3440576"/>
              </a:lnTo>
              <a:lnTo>
                <a:pt x="3205902" y="3440180"/>
              </a:lnTo>
              <a:lnTo>
                <a:pt x="3255474" y="3439753"/>
              </a:lnTo>
              <a:lnTo>
                <a:pt x="3301645" y="3439307"/>
              </a:lnTo>
              <a:lnTo>
                <a:pt x="3344458" y="3438860"/>
              </a:lnTo>
              <a:lnTo>
                <a:pt x="3383956" y="3438427"/>
              </a:lnTo>
              <a:lnTo>
                <a:pt x="3428687" y="3437895"/>
              </a:lnTo>
              <a:lnTo>
                <a:pt x="3468212" y="3437364"/>
              </a:lnTo>
              <a:lnTo>
                <a:pt x="3531431" y="3436361"/>
              </a:lnTo>
              <a:lnTo>
                <a:pt x="3573554" y="3435267"/>
              </a:lnTo>
              <a:lnTo>
                <a:pt x="3586621" y="3434835"/>
              </a:lnTo>
              <a:lnTo>
                <a:pt x="3594209" y="3434688"/>
              </a:lnTo>
              <a:lnTo>
                <a:pt x="3596285" y="3434751"/>
              </a:lnTo>
              <a:lnTo>
                <a:pt x="3592910" y="3434979"/>
              </a:lnTo>
              <a:lnTo>
                <a:pt x="3584115" y="3435574"/>
              </a:lnTo>
              <a:lnTo>
                <a:pt x="3569929" y="3436735"/>
              </a:lnTo>
              <a:lnTo>
                <a:pt x="3524348" y="3440809"/>
              </a:lnTo>
              <a:lnTo>
                <a:pt x="3459245" y="3446776"/>
              </a:lnTo>
              <a:lnTo>
                <a:pt x="3420200" y="3450441"/>
              </a:lnTo>
              <a:lnTo>
                <a:pt x="3376479" y="3454579"/>
              </a:lnTo>
              <a:lnTo>
                <a:pt x="3329028" y="3459113"/>
              </a:lnTo>
              <a:lnTo>
                <a:pt x="3278793" y="3463966"/>
              </a:lnTo>
              <a:lnTo>
                <a:pt x="3236403" y="3468093"/>
              </a:lnTo>
              <a:lnTo>
                <a:pt x="3191682" y="3472469"/>
              </a:lnTo>
              <a:lnTo>
                <a:pt x="3145151" y="3477052"/>
              </a:lnTo>
              <a:lnTo>
                <a:pt x="3097333" y="3481799"/>
              </a:lnTo>
              <a:lnTo>
                <a:pt x="3048750" y="3486668"/>
              </a:lnTo>
              <a:lnTo>
                <a:pt x="2999152" y="3491683"/>
              </a:lnTo>
              <a:lnTo>
                <a:pt x="2948192" y="3496873"/>
              </a:lnTo>
              <a:lnTo>
                <a:pt x="2896243" y="3502202"/>
              </a:lnTo>
              <a:lnTo>
                <a:pt x="2843681" y="3507632"/>
              </a:lnTo>
              <a:lnTo>
                <a:pt x="2790879" y="3513127"/>
              </a:lnTo>
              <a:lnTo>
                <a:pt x="2737681" y="3518654"/>
              </a:lnTo>
              <a:lnTo>
                <a:pt x="2683836" y="3524238"/>
              </a:lnTo>
              <a:lnTo>
                <a:pt x="2629581" y="3529927"/>
              </a:lnTo>
              <a:lnTo>
                <a:pt x="2575154" y="3535774"/>
              </a:lnTo>
              <a:lnTo>
                <a:pt x="2520791" y="3541827"/>
              </a:lnTo>
              <a:lnTo>
                <a:pt x="2466330" y="3548187"/>
              </a:lnTo>
              <a:lnTo>
                <a:pt x="2411613" y="3554819"/>
              </a:lnTo>
              <a:lnTo>
                <a:pt x="2356884" y="3561576"/>
              </a:lnTo>
              <a:lnTo>
                <a:pt x="2302387" y="3568308"/>
              </a:lnTo>
              <a:lnTo>
                <a:pt x="2248369" y="3574869"/>
              </a:lnTo>
              <a:lnTo>
                <a:pt x="2194716" y="3581225"/>
              </a:lnTo>
              <a:lnTo>
                <a:pt x="2141266" y="3587475"/>
              </a:lnTo>
              <a:lnTo>
                <a:pt x="2088187" y="3593668"/>
              </a:lnTo>
              <a:lnTo>
                <a:pt x="2035646" y="3599854"/>
              </a:lnTo>
              <a:lnTo>
                <a:pt x="1983813" y="3606085"/>
              </a:lnTo>
              <a:lnTo>
                <a:pt x="1932644" y="3612421"/>
              </a:lnTo>
              <a:lnTo>
                <a:pt x="1882029" y="3618829"/>
              </a:lnTo>
              <a:lnTo>
                <a:pt x="1832030" y="3625217"/>
              </a:lnTo>
              <a:lnTo>
                <a:pt x="1782709" y="3631492"/>
              </a:lnTo>
              <a:lnTo>
                <a:pt x="1734127" y="3637561"/>
              </a:lnTo>
              <a:lnTo>
                <a:pt x="1686183" y="3643393"/>
              </a:lnTo>
              <a:lnTo>
                <a:pt x="1638835" y="3649051"/>
              </a:lnTo>
              <a:lnTo>
                <a:pt x="1592237" y="3654580"/>
              </a:lnTo>
              <a:lnTo>
                <a:pt x="1546543" y="3660026"/>
              </a:lnTo>
              <a:lnTo>
                <a:pt x="1501908" y="3665436"/>
              </a:lnTo>
              <a:lnTo>
                <a:pt x="1447493" y="3672190"/>
              </a:lnTo>
              <a:lnTo>
                <a:pt x="1394509" y="3678869"/>
              </a:lnTo>
              <a:lnTo>
                <a:pt x="1343144" y="3685381"/>
              </a:lnTo>
              <a:lnTo>
                <a:pt x="1293586" y="3691633"/>
              </a:lnTo>
              <a:lnTo>
                <a:pt x="1245780" y="3697579"/>
              </a:lnTo>
              <a:lnTo>
                <a:pt x="1199659" y="3703276"/>
              </a:lnTo>
              <a:lnTo>
                <a:pt x="1155401" y="3708782"/>
              </a:lnTo>
              <a:lnTo>
                <a:pt x="1113179" y="3714157"/>
              </a:lnTo>
              <a:lnTo>
                <a:pt x="1072879" y="3719460"/>
              </a:lnTo>
              <a:lnTo>
                <a:pt x="1034460" y="3724646"/>
              </a:lnTo>
              <a:lnTo>
                <a:pt x="964432" y="3734254"/>
              </a:lnTo>
              <a:lnTo>
                <a:pt x="933203" y="3738525"/>
              </a:lnTo>
              <a:lnTo>
                <a:pt x="877847" y="3746198"/>
              </a:lnTo>
              <a:lnTo>
                <a:pt x="831543" y="3753081"/>
              </a:lnTo>
              <a:lnTo>
                <a:pt x="778853" y="3761868"/>
              </a:lnTo>
              <a:lnTo>
                <a:pt x="738171" y="3770286"/>
              </a:lnTo>
              <a:lnTo>
                <a:pt x="727242" y="3773940"/>
              </a:lnTo>
              <a:lnTo>
                <a:pt x="736004" y="3773789"/>
              </a:lnTo>
              <a:lnTo>
                <a:pt x="743984" y="3773394"/>
              </a:lnTo>
              <a:lnTo>
                <a:pt x="755276" y="3772482"/>
              </a:lnTo>
              <a:lnTo>
                <a:pt x="770616" y="3771121"/>
              </a:lnTo>
              <a:lnTo>
                <a:pt x="790741" y="3769380"/>
              </a:lnTo>
              <a:lnTo>
                <a:pt x="815234" y="3767265"/>
              </a:lnTo>
              <a:lnTo>
                <a:pt x="843905" y="3764744"/>
              </a:lnTo>
              <a:lnTo>
                <a:pt x="877837" y="3761827"/>
              </a:lnTo>
              <a:lnTo>
                <a:pt x="918112" y="3758523"/>
              </a:lnTo>
              <a:lnTo>
                <a:pt x="964753" y="3754769"/>
              </a:lnTo>
              <a:lnTo>
                <a:pt x="1017273" y="3750581"/>
              </a:lnTo>
              <a:lnTo>
                <a:pt x="1075981" y="3746091"/>
              </a:lnTo>
              <a:lnTo>
                <a:pt x="1141186" y="3741428"/>
              </a:lnTo>
              <a:lnTo>
                <a:pt x="1188476" y="3738220"/>
              </a:lnTo>
              <a:lnTo>
                <a:pt x="1238803" y="3734889"/>
              </a:lnTo>
              <a:lnTo>
                <a:pt x="1291972" y="3731462"/>
              </a:lnTo>
              <a:lnTo>
                <a:pt x="1347788" y="3727967"/>
              </a:lnTo>
              <a:lnTo>
                <a:pt x="1406054" y="3724431"/>
              </a:lnTo>
              <a:lnTo>
                <a:pt x="1466576" y="3720881"/>
              </a:lnTo>
              <a:lnTo>
                <a:pt x="1513548" y="3718178"/>
              </a:lnTo>
              <a:lnTo>
                <a:pt x="1562035" y="3715409"/>
              </a:lnTo>
              <a:lnTo>
                <a:pt x="1611955" y="3712599"/>
              </a:lnTo>
              <a:lnTo>
                <a:pt x="1663227" y="3709774"/>
              </a:lnTo>
              <a:lnTo>
                <a:pt x="1715768" y="3706962"/>
              </a:lnTo>
              <a:lnTo>
                <a:pt x="1769497" y="3704188"/>
              </a:lnTo>
              <a:lnTo>
                <a:pt x="1824332" y="3701478"/>
              </a:lnTo>
              <a:lnTo>
                <a:pt x="1880192" y="3698860"/>
              </a:lnTo>
              <a:lnTo>
                <a:pt x="1925764" y="3696830"/>
              </a:lnTo>
              <a:lnTo>
                <a:pt x="1972273" y="3694840"/>
              </a:lnTo>
              <a:lnTo>
                <a:pt x="2019636" y="3692887"/>
              </a:lnTo>
              <a:lnTo>
                <a:pt x="2067769" y="3690965"/>
              </a:lnTo>
              <a:lnTo>
                <a:pt x="2116590" y="3689071"/>
              </a:lnTo>
              <a:lnTo>
                <a:pt x="2166015" y="3687199"/>
              </a:lnTo>
              <a:lnTo>
                <a:pt x="2215962" y="3685345"/>
              </a:lnTo>
              <a:lnTo>
                <a:pt x="2266346" y="3683504"/>
              </a:lnTo>
              <a:lnTo>
                <a:pt x="2317086" y="3681672"/>
              </a:lnTo>
              <a:lnTo>
                <a:pt x="2368097" y="3679845"/>
              </a:lnTo>
              <a:lnTo>
                <a:pt x="2414923" y="3678182"/>
              </a:lnTo>
              <a:lnTo>
                <a:pt x="2462392" y="3676518"/>
              </a:lnTo>
              <a:lnTo>
                <a:pt x="2510406" y="3674859"/>
              </a:lnTo>
              <a:lnTo>
                <a:pt x="2558870" y="3673208"/>
              </a:lnTo>
              <a:lnTo>
                <a:pt x="2607686" y="3671571"/>
              </a:lnTo>
              <a:lnTo>
                <a:pt x="2656759" y="3669953"/>
              </a:lnTo>
              <a:lnTo>
                <a:pt x="2705992" y="3668360"/>
              </a:lnTo>
              <a:lnTo>
                <a:pt x="2755288" y="3666795"/>
              </a:lnTo>
              <a:lnTo>
                <a:pt x="2804550" y="3665265"/>
              </a:lnTo>
              <a:lnTo>
                <a:pt x="2853682" y="3663774"/>
              </a:lnTo>
              <a:lnTo>
                <a:pt x="2902588" y="3662327"/>
              </a:lnTo>
              <a:lnTo>
                <a:pt x="2951544" y="3660929"/>
              </a:lnTo>
              <a:lnTo>
                <a:pt x="3000820" y="3659579"/>
              </a:lnTo>
              <a:lnTo>
                <a:pt x="3050306" y="3658270"/>
              </a:lnTo>
              <a:lnTo>
                <a:pt x="3099896" y="3656996"/>
              </a:lnTo>
              <a:lnTo>
                <a:pt x="3149481" y="3655751"/>
              </a:lnTo>
              <a:lnTo>
                <a:pt x="3198952" y="3654528"/>
              </a:lnTo>
              <a:lnTo>
                <a:pt x="3248202" y="3653322"/>
              </a:lnTo>
              <a:lnTo>
                <a:pt x="3297122" y="3652125"/>
              </a:lnTo>
              <a:lnTo>
                <a:pt x="3345605" y="3650933"/>
              </a:lnTo>
              <a:lnTo>
                <a:pt x="3393541" y="3649738"/>
              </a:lnTo>
              <a:lnTo>
                <a:pt x="3440824" y="3648534"/>
              </a:lnTo>
              <a:lnTo>
                <a:pt x="3492397" y="3647201"/>
              </a:lnTo>
              <a:lnTo>
                <a:pt x="3543814" y="3645865"/>
              </a:lnTo>
              <a:lnTo>
                <a:pt x="3594951" y="3644532"/>
              </a:lnTo>
              <a:lnTo>
                <a:pt x="3645687" y="3643207"/>
              </a:lnTo>
              <a:lnTo>
                <a:pt x="3695899" y="3641895"/>
              </a:lnTo>
              <a:lnTo>
                <a:pt x="3745464" y="3640601"/>
              </a:lnTo>
              <a:lnTo>
                <a:pt x="3794261" y="3639330"/>
              </a:lnTo>
              <a:lnTo>
                <a:pt x="3842166" y="3638088"/>
              </a:lnTo>
              <a:lnTo>
                <a:pt x="3889058" y="3636879"/>
              </a:lnTo>
              <a:lnTo>
                <a:pt x="3934814" y="3635709"/>
              </a:lnTo>
              <a:lnTo>
                <a:pt x="3990725" y="3634301"/>
              </a:lnTo>
              <a:lnTo>
                <a:pt x="4045507" y="3632947"/>
              </a:lnTo>
              <a:lnTo>
                <a:pt x="4099041" y="3631640"/>
              </a:lnTo>
              <a:lnTo>
                <a:pt x="4151206" y="3630372"/>
              </a:lnTo>
              <a:lnTo>
                <a:pt x="4201882" y="3629136"/>
              </a:lnTo>
              <a:lnTo>
                <a:pt x="4250949" y="3627925"/>
              </a:lnTo>
              <a:lnTo>
                <a:pt x="4298287" y="3626731"/>
              </a:lnTo>
              <a:lnTo>
                <a:pt x="4343774" y="3625548"/>
              </a:lnTo>
              <a:lnTo>
                <a:pt x="4401640" y="3623986"/>
              </a:lnTo>
              <a:lnTo>
                <a:pt x="4456533" y="3622453"/>
              </a:lnTo>
              <a:lnTo>
                <a:pt x="4508495" y="3620960"/>
              </a:lnTo>
              <a:lnTo>
                <a:pt x="4557564" y="3619517"/>
              </a:lnTo>
              <a:lnTo>
                <a:pt x="4603779" y="3618136"/>
              </a:lnTo>
              <a:lnTo>
                <a:pt x="4647179" y="3616826"/>
              </a:lnTo>
              <a:lnTo>
                <a:pt x="4706801" y="3614990"/>
              </a:lnTo>
              <a:lnTo>
                <a:pt x="4759885" y="3613291"/>
              </a:lnTo>
              <a:lnTo>
                <a:pt x="4806783" y="3611730"/>
              </a:lnTo>
              <a:lnTo>
                <a:pt x="4847849" y="3610307"/>
              </a:lnTo>
              <a:lnTo>
                <a:pt x="4912044" y="3607900"/>
              </a:lnTo>
              <a:lnTo>
                <a:pt x="4953311" y="3605997"/>
              </a:lnTo>
              <a:lnTo>
                <a:pt x="4974123" y="3603778"/>
              </a:lnTo>
              <a:lnTo>
                <a:pt x="4970551" y="3603525"/>
              </a:lnTo>
              <a:lnTo>
                <a:pt x="4928710" y="3604748"/>
              </a:lnTo>
              <a:lnTo>
                <a:pt x="4876680" y="3606777"/>
              </a:lnTo>
              <a:lnTo>
                <a:pt x="4843389" y="3608188"/>
              </a:lnTo>
              <a:lnTo>
                <a:pt x="4805682" y="3609735"/>
              </a:lnTo>
              <a:lnTo>
                <a:pt x="4764026" y="3611290"/>
              </a:lnTo>
              <a:lnTo>
                <a:pt x="4718270" y="3612791"/>
              </a:lnTo>
              <a:lnTo>
                <a:pt x="4668259" y="3614316"/>
              </a:lnTo>
              <a:lnTo>
                <a:pt x="4614443" y="3615946"/>
              </a:lnTo>
              <a:lnTo>
                <a:pt x="4557275" y="3617762"/>
              </a:lnTo>
              <a:lnTo>
                <a:pt x="4509047" y="3619355"/>
              </a:lnTo>
              <a:lnTo>
                <a:pt x="4458426" y="3621043"/>
              </a:lnTo>
              <a:lnTo>
                <a:pt x="4405639" y="3622836"/>
              </a:lnTo>
              <a:lnTo>
                <a:pt x="4350915" y="3624745"/>
              </a:lnTo>
              <a:lnTo>
                <a:pt x="4294479" y="3626781"/>
              </a:lnTo>
              <a:lnTo>
                <a:pt x="4245988" y="3628615"/>
              </a:lnTo>
              <a:lnTo>
                <a:pt x="4196005" y="3630580"/>
              </a:lnTo>
              <a:lnTo>
                <a:pt x="4144729" y="3632628"/>
              </a:lnTo>
              <a:lnTo>
                <a:pt x="4092358" y="3634710"/>
              </a:lnTo>
              <a:lnTo>
                <a:pt x="4039091" y="3636777"/>
              </a:lnTo>
              <a:lnTo>
                <a:pt x="3985125" y="3638780"/>
              </a:lnTo>
              <a:lnTo>
                <a:pt x="3938101" y="3640464"/>
              </a:lnTo>
              <a:lnTo>
                <a:pt x="3890157" y="3642156"/>
              </a:lnTo>
              <a:lnTo>
                <a:pt x="3841490" y="3643842"/>
              </a:lnTo>
              <a:lnTo>
                <a:pt x="3792294" y="3645507"/>
              </a:lnTo>
              <a:lnTo>
                <a:pt x="3742766" y="3647136"/>
              </a:lnTo>
              <a:lnTo>
                <a:pt x="3693099" y="3648715"/>
              </a:lnTo>
              <a:lnTo>
                <a:pt x="3643491" y="3650229"/>
              </a:lnTo>
              <a:lnTo>
                <a:pt x="3593707" y="3651674"/>
              </a:lnTo>
              <a:lnTo>
                <a:pt x="3543494" y="3653059"/>
              </a:lnTo>
              <a:lnTo>
                <a:pt x="3493023" y="3654395"/>
              </a:lnTo>
              <a:lnTo>
                <a:pt x="3442461" y="3655693"/>
              </a:lnTo>
              <a:lnTo>
                <a:pt x="3391979" y="3656963"/>
              </a:lnTo>
              <a:lnTo>
                <a:pt x="3341746" y="3658214"/>
              </a:lnTo>
              <a:lnTo>
                <a:pt x="3291930" y="3659458"/>
              </a:lnTo>
              <a:lnTo>
                <a:pt x="3242179" y="3660669"/>
              </a:lnTo>
              <a:lnTo>
                <a:pt x="3192223" y="3661830"/>
              </a:lnTo>
              <a:lnTo>
                <a:pt x="3142360" y="3662963"/>
              </a:lnTo>
              <a:lnTo>
                <a:pt x="3092888" y="3664088"/>
              </a:lnTo>
              <a:lnTo>
                <a:pt x="3044103" y="3665227"/>
              </a:lnTo>
              <a:lnTo>
                <a:pt x="2996304" y="3666399"/>
              </a:lnTo>
              <a:lnTo>
                <a:pt x="2949788" y="3667626"/>
              </a:lnTo>
              <a:lnTo>
                <a:pt x="2896856" y="3669143"/>
              </a:lnTo>
              <a:lnTo>
                <a:pt x="2844974" y="3670727"/>
              </a:lnTo>
              <a:lnTo>
                <a:pt x="2794299" y="3672349"/>
              </a:lnTo>
              <a:lnTo>
                <a:pt x="2744985" y="3673975"/>
              </a:lnTo>
              <a:lnTo>
                <a:pt x="2697190" y="3675575"/>
              </a:lnTo>
              <a:lnTo>
                <a:pt x="2651070" y="3677117"/>
              </a:lnTo>
              <a:lnTo>
                <a:pt x="2597738" y="3678890"/>
              </a:lnTo>
              <a:lnTo>
                <a:pt x="2546443" y="3680615"/>
              </a:lnTo>
              <a:lnTo>
                <a:pt x="2497410" y="3682308"/>
              </a:lnTo>
              <a:lnTo>
                <a:pt x="2450860" y="3683982"/>
              </a:lnTo>
              <a:lnTo>
                <a:pt x="2407018" y="3685655"/>
              </a:lnTo>
              <a:lnTo>
                <a:pt x="2356068" y="3687733"/>
              </a:lnTo>
              <a:lnTo>
                <a:pt x="2309162" y="3689785"/>
              </a:lnTo>
              <a:lnTo>
                <a:pt x="2266161" y="3691830"/>
              </a:lnTo>
              <a:lnTo>
                <a:pt x="2226924" y="3693885"/>
              </a:lnTo>
              <a:lnTo>
                <a:pt x="2159572" y="3698116"/>
              </a:lnTo>
              <a:lnTo>
                <a:pt x="2107805" y="3702182"/>
              </a:lnTo>
              <a:lnTo>
                <a:pt x="2060253" y="3707536"/>
              </a:lnTo>
              <a:lnTo>
                <a:pt x="2044579" y="3711099"/>
              </a:lnTo>
              <a:lnTo>
                <a:pt x="2047328" y="3713042"/>
              </a:lnTo>
              <a:lnTo>
                <a:pt x="2089181" y="3715318"/>
              </a:lnTo>
              <a:lnTo>
                <a:pt x="2134053" y="3715802"/>
              </a:lnTo>
              <a:lnTo>
                <a:pt x="2162955" y="3715878"/>
              </a:lnTo>
              <a:lnTo>
                <a:pt x="2196084" y="3715813"/>
              </a:lnTo>
              <a:lnTo>
                <a:pt x="2275645" y="3715460"/>
              </a:lnTo>
              <a:lnTo>
                <a:pt x="2322313" y="3715213"/>
              </a:lnTo>
              <a:lnTo>
                <a:pt x="2373504" y="3714896"/>
              </a:lnTo>
              <a:lnTo>
                <a:pt x="2429103" y="3714542"/>
              </a:lnTo>
              <a:lnTo>
                <a:pt x="2488995" y="3714184"/>
              </a:lnTo>
              <a:lnTo>
                <a:pt x="2531386" y="3713942"/>
              </a:lnTo>
              <a:lnTo>
                <a:pt x="2575814" y="3713688"/>
              </a:lnTo>
              <a:lnTo>
                <a:pt x="2622168" y="3713427"/>
              </a:lnTo>
              <a:lnTo>
                <a:pt x="2670334" y="3713165"/>
              </a:lnTo>
              <a:lnTo>
                <a:pt x="2720199" y="3712906"/>
              </a:lnTo>
              <a:lnTo>
                <a:pt x="2771650" y="3712657"/>
              </a:lnTo>
              <a:lnTo>
                <a:pt x="2817190" y="3712448"/>
              </a:lnTo>
              <a:lnTo>
                <a:pt x="2864205" y="3712240"/>
              </a:lnTo>
              <a:lnTo>
                <a:pt x="2912523" y="3712035"/>
              </a:lnTo>
              <a:lnTo>
                <a:pt x="2961978" y="3711833"/>
              </a:lnTo>
              <a:lnTo>
                <a:pt x="3012398" y="3711636"/>
              </a:lnTo>
              <a:lnTo>
                <a:pt x="3063616" y="3711446"/>
              </a:lnTo>
              <a:lnTo>
                <a:pt x="3115462" y="3711264"/>
              </a:lnTo>
              <a:lnTo>
                <a:pt x="3161549" y="3711112"/>
              </a:lnTo>
              <a:lnTo>
                <a:pt x="3208533" y="3710963"/>
              </a:lnTo>
              <a:lnTo>
                <a:pt x="3256268" y="3710819"/>
              </a:lnTo>
              <a:lnTo>
                <a:pt x="3304607" y="3710680"/>
              </a:lnTo>
              <a:lnTo>
                <a:pt x="3353406" y="3710546"/>
              </a:lnTo>
              <a:lnTo>
                <a:pt x="3402518" y="3710417"/>
              </a:lnTo>
              <a:lnTo>
                <a:pt x="3451798" y="3710294"/>
              </a:lnTo>
              <a:lnTo>
                <a:pt x="3501099" y="3710176"/>
              </a:lnTo>
              <a:lnTo>
                <a:pt x="3550711" y="3710064"/>
              </a:lnTo>
              <a:lnTo>
                <a:pt x="3600895" y="3709958"/>
              </a:lnTo>
              <a:lnTo>
                <a:pt x="3651467" y="3709857"/>
              </a:lnTo>
              <a:lnTo>
                <a:pt x="3702243" y="3709761"/>
              </a:lnTo>
              <a:lnTo>
                <a:pt x="3753037" y="3709670"/>
              </a:lnTo>
              <a:lnTo>
                <a:pt x="3803664" y="3709584"/>
              </a:lnTo>
              <a:lnTo>
                <a:pt x="3853941" y="3709502"/>
              </a:lnTo>
              <a:lnTo>
                <a:pt x="3903682" y="3709425"/>
              </a:lnTo>
              <a:lnTo>
                <a:pt x="3953225" y="3709352"/>
              </a:lnTo>
              <a:lnTo>
                <a:pt x="4002891" y="3709285"/>
              </a:lnTo>
              <a:lnTo>
                <a:pt x="4052471" y="3709222"/>
              </a:lnTo>
              <a:lnTo>
                <a:pt x="4101752" y="3709164"/>
              </a:lnTo>
              <a:lnTo>
                <a:pt x="4150524" y="3709110"/>
              </a:lnTo>
              <a:lnTo>
                <a:pt x="4198577" y="3709060"/>
              </a:lnTo>
              <a:lnTo>
                <a:pt x="4245699" y="3709013"/>
              </a:lnTo>
              <a:lnTo>
                <a:pt x="4291680" y="3708969"/>
              </a:lnTo>
              <a:lnTo>
                <a:pt x="4343119" y="3708923"/>
              </a:lnTo>
              <a:lnTo>
                <a:pt x="4393712" y="3708883"/>
              </a:lnTo>
              <a:lnTo>
                <a:pt x="4443320" y="3708847"/>
              </a:lnTo>
              <a:lnTo>
                <a:pt x="4491803" y="3708815"/>
              </a:lnTo>
              <a:lnTo>
                <a:pt x="4539023" y="3708787"/>
              </a:lnTo>
              <a:lnTo>
                <a:pt x="4584840" y="3708762"/>
              </a:lnTo>
              <a:lnTo>
                <a:pt x="4629117" y="3708739"/>
              </a:lnTo>
              <a:lnTo>
                <a:pt x="4688786" y="3708713"/>
              </a:lnTo>
              <a:lnTo>
                <a:pt x="4745951" y="3708693"/>
              </a:lnTo>
              <a:lnTo>
                <a:pt x="4800382" y="3708679"/>
              </a:lnTo>
              <a:lnTo>
                <a:pt x="4851848" y="3708669"/>
              </a:lnTo>
              <a:lnTo>
                <a:pt x="4900118" y="3708662"/>
              </a:lnTo>
              <a:lnTo>
                <a:pt x="4955872" y="3708695"/>
              </a:lnTo>
              <a:lnTo>
                <a:pt x="5006796" y="3708760"/>
              </a:lnTo>
              <a:lnTo>
                <a:pt x="5053120" y="3708779"/>
              </a:lnTo>
              <a:lnTo>
                <a:pt x="5095072" y="3708673"/>
              </a:lnTo>
              <a:lnTo>
                <a:pt x="5165055" y="3708021"/>
              </a:lnTo>
              <a:lnTo>
                <a:pt x="5218860" y="3707107"/>
              </a:lnTo>
              <a:lnTo>
                <a:pt x="5258700" y="3706089"/>
              </a:lnTo>
              <a:lnTo>
                <a:pt x="5297106" y="3704338"/>
              </a:lnTo>
              <a:lnTo>
                <a:pt x="5300723" y="3703624"/>
              </a:lnTo>
              <a:lnTo>
                <a:pt x="5295089" y="3703023"/>
              </a:lnTo>
              <a:lnTo>
                <a:pt x="5250601" y="3701415"/>
              </a:lnTo>
              <a:lnTo>
                <a:pt x="5206460" y="3700687"/>
              </a:lnTo>
              <a:lnTo>
                <a:pt x="5147188" y="3700272"/>
              </a:lnTo>
              <a:lnTo>
                <a:pt x="5111379" y="3700334"/>
              </a:lnTo>
              <a:lnTo>
                <a:pt x="5071523" y="3700543"/>
              </a:lnTo>
              <a:lnTo>
                <a:pt x="5028114" y="3700842"/>
              </a:lnTo>
              <a:lnTo>
                <a:pt x="4981648" y="3701178"/>
              </a:lnTo>
              <a:lnTo>
                <a:pt x="4931766" y="3701558"/>
              </a:lnTo>
              <a:lnTo>
                <a:pt x="4878367" y="3702003"/>
              </a:lnTo>
              <a:lnTo>
                <a:pt x="4822336" y="3702479"/>
              </a:lnTo>
              <a:lnTo>
                <a:pt x="4764563" y="3702953"/>
              </a:lnTo>
              <a:lnTo>
                <a:pt x="4717223" y="3703304"/>
              </a:lnTo>
              <a:lnTo>
                <a:pt x="4668572" y="3703641"/>
              </a:lnTo>
              <a:lnTo>
                <a:pt x="4618619" y="3703993"/>
              </a:lnTo>
              <a:lnTo>
                <a:pt x="4567374" y="3704390"/>
              </a:lnTo>
              <a:lnTo>
                <a:pt x="4514848" y="3704861"/>
              </a:lnTo>
              <a:lnTo>
                <a:pt x="4469956" y="3705326"/>
              </a:lnTo>
              <a:lnTo>
                <a:pt x="4424000" y="3705846"/>
              </a:lnTo>
              <a:lnTo>
                <a:pt x="4377150" y="3706403"/>
              </a:lnTo>
              <a:lnTo>
                <a:pt x="4329573" y="3706982"/>
              </a:lnTo>
              <a:lnTo>
                <a:pt x="4281441" y="3707564"/>
              </a:lnTo>
              <a:lnTo>
                <a:pt x="4232920" y="3708132"/>
              </a:lnTo>
              <a:lnTo>
                <a:pt x="4183761" y="3708659"/>
              </a:lnTo>
              <a:lnTo>
                <a:pt x="4133778" y="3709153"/>
              </a:lnTo>
              <a:lnTo>
                <a:pt x="4083239" y="3709651"/>
              </a:lnTo>
              <a:lnTo>
                <a:pt x="4032409" y="3710189"/>
              </a:lnTo>
              <a:lnTo>
                <a:pt x="3981557" y="3710802"/>
              </a:lnTo>
              <a:lnTo>
                <a:pt x="3930948" y="3711527"/>
              </a:lnTo>
              <a:lnTo>
                <a:pt x="3880295" y="3712367"/>
              </a:lnTo>
              <a:lnTo>
                <a:pt x="3829326" y="3713294"/>
              </a:lnTo>
              <a:lnTo>
                <a:pt x="3778333" y="3714296"/>
              </a:lnTo>
              <a:lnTo>
                <a:pt x="3727611" y="3715363"/>
              </a:lnTo>
              <a:lnTo>
                <a:pt x="3677452" y="3716484"/>
              </a:lnTo>
              <a:lnTo>
                <a:pt x="3628149" y="3717648"/>
              </a:lnTo>
              <a:lnTo>
                <a:pt x="3579476" y="3718866"/>
              </a:lnTo>
              <a:lnTo>
                <a:pt x="3531156" y="3720147"/>
              </a:lnTo>
              <a:lnTo>
                <a:pt x="3483399" y="3721482"/>
              </a:lnTo>
              <a:lnTo>
                <a:pt x="3436415" y="3722862"/>
              </a:lnTo>
              <a:lnTo>
                <a:pt x="3390417" y="3724275"/>
              </a:lnTo>
              <a:lnTo>
                <a:pt x="3345616" y="3725712"/>
              </a:lnTo>
              <a:lnTo>
                <a:pt x="3293160" y="3727480"/>
              </a:lnTo>
              <a:lnTo>
                <a:pt x="3241915" y="3729306"/>
              </a:lnTo>
              <a:lnTo>
                <a:pt x="3192193" y="3731176"/>
              </a:lnTo>
              <a:lnTo>
                <a:pt x="3144304" y="3733077"/>
              </a:lnTo>
              <a:lnTo>
                <a:pt x="3098556" y="3734995"/>
              </a:lnTo>
              <a:lnTo>
                <a:pt x="3044166" y="3737465"/>
              </a:lnTo>
              <a:lnTo>
                <a:pt x="2992676" y="3740008"/>
              </a:lnTo>
              <a:lnTo>
                <a:pt x="2944458" y="3742528"/>
              </a:lnTo>
              <a:lnTo>
                <a:pt x="2899887" y="3744931"/>
              </a:lnTo>
              <a:lnTo>
                <a:pt x="2859118" y="3747182"/>
              </a:lnTo>
              <a:lnTo>
                <a:pt x="2788144" y="3751429"/>
              </a:lnTo>
              <a:lnTo>
                <a:pt x="2730158" y="3755592"/>
              </a:lnTo>
              <a:lnTo>
                <a:pt x="2685161" y="3759671"/>
              </a:lnTo>
              <a:lnTo>
                <a:pt x="2642690" y="3764991"/>
              </a:lnTo>
              <a:lnTo>
                <a:pt x="2626263" y="3769806"/>
              </a:lnTo>
              <a:lnTo>
                <a:pt x="2630016" y="3771282"/>
              </a:lnTo>
              <a:lnTo>
                <a:pt x="2683719" y="3774733"/>
              </a:lnTo>
              <a:lnTo>
                <a:pt x="2727955" y="3775779"/>
              </a:lnTo>
              <a:lnTo>
                <a:pt x="2785679" y="3776490"/>
              </a:lnTo>
              <a:lnTo>
                <a:pt x="2855877" y="3776973"/>
              </a:lnTo>
              <a:lnTo>
                <a:pt x="2895499" y="3777123"/>
              </a:lnTo>
              <a:lnTo>
                <a:pt x="2938549" y="3777228"/>
              </a:lnTo>
              <a:lnTo>
                <a:pt x="2985397" y="3777304"/>
              </a:lnTo>
              <a:lnTo>
                <a:pt x="3036132" y="3777347"/>
              </a:lnTo>
              <a:lnTo>
                <a:pt x="3090560" y="3777352"/>
              </a:lnTo>
              <a:lnTo>
                <a:pt x="3148626" y="3777331"/>
              </a:lnTo>
              <a:lnTo>
                <a:pt x="3210275" y="3777297"/>
              </a:lnTo>
              <a:lnTo>
                <a:pt x="3253440" y="3777267"/>
              </a:lnTo>
              <a:lnTo>
                <a:pt x="3298304" y="3777227"/>
              </a:lnTo>
              <a:lnTo>
                <a:pt x="3344768" y="3777180"/>
              </a:lnTo>
              <a:lnTo>
                <a:pt x="3392735" y="3777127"/>
              </a:lnTo>
              <a:lnTo>
                <a:pt x="3442103" y="3777072"/>
              </a:lnTo>
              <a:lnTo>
                <a:pt x="3492774" y="3777017"/>
              </a:lnTo>
              <a:lnTo>
                <a:pt x="3537259" y="3776954"/>
              </a:lnTo>
              <a:lnTo>
                <a:pt x="3582783" y="3776870"/>
              </a:lnTo>
              <a:lnTo>
                <a:pt x="3629340" y="3776778"/>
              </a:lnTo>
              <a:lnTo>
                <a:pt x="3676923" y="3776695"/>
              </a:lnTo>
              <a:lnTo>
                <a:pt x="3725524" y="3776636"/>
              </a:lnTo>
              <a:lnTo>
                <a:pt x="3775136" y="3776615"/>
              </a:lnTo>
              <a:lnTo>
                <a:pt x="3825753" y="3776647"/>
              </a:lnTo>
              <a:lnTo>
                <a:pt x="3871039" y="3776723"/>
              </a:lnTo>
              <a:lnTo>
                <a:pt x="3917346" y="3776835"/>
              </a:lnTo>
              <a:lnTo>
                <a:pt x="3964527" y="3776976"/>
              </a:lnTo>
              <a:lnTo>
                <a:pt x="4012436" y="3777141"/>
              </a:lnTo>
              <a:lnTo>
                <a:pt x="4060924" y="3777323"/>
              </a:lnTo>
              <a:lnTo>
                <a:pt x="4109847" y="3777517"/>
              </a:lnTo>
              <a:lnTo>
                <a:pt x="4159056" y="3777716"/>
              </a:lnTo>
              <a:lnTo>
                <a:pt x="4208405" y="3777915"/>
              </a:lnTo>
              <a:lnTo>
                <a:pt x="4258159" y="3778120"/>
              </a:lnTo>
              <a:lnTo>
                <a:pt x="4308572" y="3778341"/>
              </a:lnTo>
              <a:lnTo>
                <a:pt x="4359479" y="3778573"/>
              </a:lnTo>
              <a:lnTo>
                <a:pt x="4410716" y="3778814"/>
              </a:lnTo>
              <a:lnTo>
                <a:pt x="4462119" y="3779060"/>
              </a:lnTo>
              <a:lnTo>
                <a:pt x="4513522" y="3779306"/>
              </a:lnTo>
              <a:lnTo>
                <a:pt x="4564762" y="3779550"/>
              </a:lnTo>
              <a:lnTo>
                <a:pt x="4615675" y="3779787"/>
              </a:lnTo>
              <a:lnTo>
                <a:pt x="4666589" y="3780022"/>
              </a:lnTo>
              <a:lnTo>
                <a:pt x="4717802" y="3780260"/>
              </a:lnTo>
              <a:lnTo>
                <a:pt x="4769102" y="3780498"/>
              </a:lnTo>
              <a:lnTo>
                <a:pt x="4820278" y="3780736"/>
              </a:lnTo>
              <a:lnTo>
                <a:pt x="4871118" y="3780971"/>
              </a:lnTo>
              <a:lnTo>
                <a:pt x="4921411" y="3781201"/>
              </a:lnTo>
              <a:lnTo>
                <a:pt x="4970943" y="3781426"/>
              </a:lnTo>
              <a:lnTo>
                <a:pt x="5019505" y="3781642"/>
              </a:lnTo>
              <a:lnTo>
                <a:pt x="5074177" y="3781881"/>
              </a:lnTo>
              <a:lnTo>
                <a:pt x="5128324" y="3782116"/>
              </a:lnTo>
              <a:lnTo>
                <a:pt x="5181735" y="3782343"/>
              </a:lnTo>
              <a:lnTo>
                <a:pt x="5234196" y="3782564"/>
              </a:lnTo>
              <a:lnTo>
                <a:pt x="5285496" y="3782776"/>
              </a:lnTo>
              <a:lnTo>
                <a:pt x="5335421" y="3782980"/>
              </a:lnTo>
              <a:lnTo>
                <a:pt x="5383758" y="3783174"/>
              </a:lnTo>
              <a:lnTo>
                <a:pt x="5438403" y="3783406"/>
              </a:lnTo>
              <a:lnTo>
                <a:pt x="5491448" y="3783650"/>
              </a:lnTo>
              <a:lnTo>
                <a:pt x="5542719" y="3783881"/>
              </a:lnTo>
              <a:lnTo>
                <a:pt x="5592040" y="3784078"/>
              </a:lnTo>
              <a:lnTo>
                <a:pt x="5639236" y="3784220"/>
              </a:lnTo>
              <a:lnTo>
                <a:pt x="5684130" y="3784283"/>
              </a:lnTo>
              <a:lnTo>
                <a:pt x="5747223" y="3784217"/>
              </a:lnTo>
              <a:lnTo>
                <a:pt x="5805506" y="3784008"/>
              </a:lnTo>
              <a:lnTo>
                <a:pt x="5859063" y="3783708"/>
              </a:lnTo>
              <a:lnTo>
                <a:pt x="5907980" y="3783373"/>
              </a:lnTo>
              <a:lnTo>
                <a:pt x="5951990" y="3783032"/>
              </a:lnTo>
              <a:lnTo>
                <a:pt x="5991145" y="3782653"/>
              </a:lnTo>
              <a:lnTo>
                <a:pt x="6057135" y="3781607"/>
              </a:lnTo>
              <a:lnTo>
                <a:pt x="6107767" y="3779977"/>
              </a:lnTo>
              <a:lnTo>
                <a:pt x="6156525" y="3777155"/>
              </a:lnTo>
              <a:lnTo>
                <a:pt x="6174267" y="3774305"/>
              </a:lnTo>
              <a:lnTo>
                <a:pt x="6173098" y="3773430"/>
              </a:lnTo>
              <a:lnTo>
                <a:pt x="6130923" y="3770327"/>
              </a:lnTo>
              <a:lnTo>
                <a:pt x="6085883" y="3769090"/>
              </a:lnTo>
              <a:lnTo>
                <a:pt x="6025746" y="3768063"/>
              </a:lnTo>
              <a:lnTo>
                <a:pt x="5950512" y="3767246"/>
              </a:lnTo>
              <a:lnTo>
                <a:pt x="5907911" y="3766903"/>
              </a:lnTo>
              <a:lnTo>
                <a:pt x="5861970" y="3766604"/>
              </a:lnTo>
              <a:lnTo>
                <a:pt x="5812586" y="3766351"/>
              </a:lnTo>
              <a:lnTo>
                <a:pt x="5760118" y="3766135"/>
              </a:lnTo>
              <a:lnTo>
                <a:pt x="5704920" y="3765949"/>
              </a:lnTo>
              <a:lnTo>
                <a:pt x="5658670" y="3765822"/>
              </a:lnTo>
              <a:lnTo>
                <a:pt x="5610412" y="3765718"/>
              </a:lnTo>
              <a:lnTo>
                <a:pt x="5560425" y="3765633"/>
              </a:lnTo>
              <a:lnTo>
                <a:pt x="5508984" y="3765563"/>
              </a:lnTo>
              <a:lnTo>
                <a:pt x="5456367" y="3765504"/>
              </a:lnTo>
              <a:lnTo>
                <a:pt x="5411595" y="3765463"/>
              </a:lnTo>
              <a:lnTo>
                <a:pt x="5365830" y="3765434"/>
              </a:lnTo>
              <a:lnTo>
                <a:pt x="5319120" y="3765414"/>
              </a:lnTo>
              <a:lnTo>
                <a:pt x="5271513" y="3765401"/>
              </a:lnTo>
              <a:lnTo>
                <a:pt x="5223058" y="3765393"/>
              </a:lnTo>
              <a:lnTo>
                <a:pt x="5173801" y="3765389"/>
              </a:lnTo>
              <a:lnTo>
                <a:pt x="5123693" y="3765389"/>
              </a:lnTo>
              <a:lnTo>
                <a:pt x="5072685" y="3765395"/>
              </a:lnTo>
              <a:lnTo>
                <a:pt x="5020828" y="3765407"/>
              </a:lnTo>
              <a:lnTo>
                <a:pt x="4968173" y="3765422"/>
              </a:lnTo>
              <a:lnTo>
                <a:pt x="4914771" y="3765440"/>
              </a:lnTo>
              <a:lnTo>
                <a:pt x="4860674" y="3765458"/>
              </a:lnTo>
              <a:lnTo>
                <a:pt x="4813549" y="3765475"/>
              </a:lnTo>
              <a:lnTo>
                <a:pt x="4765612" y="3765495"/>
              </a:lnTo>
              <a:lnTo>
                <a:pt x="4717061" y="3765516"/>
              </a:lnTo>
              <a:lnTo>
                <a:pt x="4668093" y="3765538"/>
              </a:lnTo>
              <a:lnTo>
                <a:pt x="4618906" y="3765562"/>
              </a:lnTo>
              <a:lnTo>
                <a:pt x="4569698" y="3765585"/>
              </a:lnTo>
              <a:lnTo>
                <a:pt x="4520666" y="3765608"/>
              </a:lnTo>
              <a:lnTo>
                <a:pt x="4471428" y="3765631"/>
              </a:lnTo>
              <a:lnTo>
                <a:pt x="4421678" y="3765655"/>
              </a:lnTo>
              <a:lnTo>
                <a:pt x="4371736" y="3765679"/>
              </a:lnTo>
              <a:lnTo>
                <a:pt x="4321919" y="3765703"/>
              </a:lnTo>
              <a:lnTo>
                <a:pt x="4272544" y="3765727"/>
              </a:lnTo>
              <a:lnTo>
                <a:pt x="4223930" y="3765750"/>
              </a:lnTo>
              <a:lnTo>
                <a:pt x="4176395" y="3765773"/>
              </a:lnTo>
              <a:lnTo>
                <a:pt x="4121820" y="3765798"/>
              </a:lnTo>
              <a:lnTo>
                <a:pt x="4067756" y="3765823"/>
              </a:lnTo>
              <a:lnTo>
                <a:pt x="4014584" y="3765848"/>
              </a:lnTo>
              <a:lnTo>
                <a:pt x="3962682" y="3765872"/>
              </a:lnTo>
              <a:lnTo>
                <a:pt x="3912430" y="3765895"/>
              </a:lnTo>
              <a:lnTo>
                <a:pt x="3864206" y="3765917"/>
              </a:lnTo>
              <a:lnTo>
                <a:pt x="3808709" y="3765941"/>
              </a:lnTo>
              <a:lnTo>
                <a:pt x="3755400" y="3765964"/>
              </a:lnTo>
              <a:lnTo>
                <a:pt x="3704560" y="3765986"/>
              </a:lnTo>
              <a:lnTo>
                <a:pt x="3656469" y="3766007"/>
              </a:lnTo>
              <a:lnTo>
                <a:pt x="3611406" y="3766025"/>
              </a:lnTo>
              <a:lnTo>
                <a:pt x="3559454" y="3766047"/>
              </a:lnTo>
              <a:lnTo>
                <a:pt x="3512040" y="3766067"/>
              </a:lnTo>
              <a:lnTo>
                <a:pt x="3468872" y="3766084"/>
              </a:lnTo>
              <a:lnTo>
                <a:pt x="3429655" y="3766099"/>
              </a:lnTo>
              <a:lnTo>
                <a:pt x="3394295" y="3766189"/>
              </a:lnTo>
              <a:lnTo>
                <a:pt x="3362952" y="3766326"/>
              </a:lnTo>
              <a:lnTo>
                <a:pt x="3335723" y="3766361"/>
              </a:lnTo>
              <a:lnTo>
                <a:pt x="3312706" y="3766142"/>
              </a:lnTo>
              <a:lnTo>
                <a:pt x="3268351" y="3764108"/>
              </a:lnTo>
              <a:lnTo>
                <a:pt x="3261517" y="3761437"/>
              </a:lnTo>
              <a:lnTo>
                <a:pt x="3264915" y="3759678"/>
              </a:lnTo>
              <a:lnTo>
                <a:pt x="3305959" y="3752754"/>
              </a:lnTo>
              <a:lnTo>
                <a:pt x="3359673" y="3746733"/>
              </a:lnTo>
              <a:lnTo>
                <a:pt x="3434755" y="3740815"/>
              </a:lnTo>
              <a:lnTo>
                <a:pt x="3480386" y="3737929"/>
              </a:lnTo>
              <a:lnTo>
                <a:pt x="3531204" y="3735001"/>
              </a:lnTo>
              <a:lnTo>
                <a:pt x="3587028" y="3731974"/>
              </a:lnTo>
              <a:lnTo>
                <a:pt x="3635384" y="3729452"/>
              </a:lnTo>
              <a:lnTo>
                <a:pt x="3687104" y="3726859"/>
              </a:lnTo>
              <a:lnTo>
                <a:pt x="3742006" y="3724225"/>
              </a:lnTo>
              <a:lnTo>
                <a:pt x="3799906" y="3721579"/>
              </a:lnTo>
              <a:lnTo>
                <a:pt x="3860622" y="3718951"/>
              </a:lnTo>
              <a:lnTo>
                <a:pt x="3905887" y="3717095"/>
              </a:lnTo>
              <a:lnTo>
                <a:pt x="3952897" y="3715250"/>
              </a:lnTo>
              <a:lnTo>
                <a:pt x="4001468" y="3713407"/>
              </a:lnTo>
              <a:lnTo>
                <a:pt x="4051414" y="3711557"/>
              </a:lnTo>
              <a:lnTo>
                <a:pt x="4102550" y="3709692"/>
              </a:lnTo>
              <a:lnTo>
                <a:pt x="4154692" y="3707803"/>
              </a:lnTo>
              <a:lnTo>
                <a:pt x="4207654" y="3705880"/>
              </a:lnTo>
              <a:lnTo>
                <a:pt x="4254864" y="3704175"/>
              </a:lnTo>
              <a:lnTo>
                <a:pt x="4303113" y="3702457"/>
              </a:lnTo>
              <a:lnTo>
                <a:pt x="4352267" y="3700724"/>
              </a:lnTo>
              <a:lnTo>
                <a:pt x="4402194" y="3698974"/>
              </a:lnTo>
              <a:lnTo>
                <a:pt x="4452760" y="3697205"/>
              </a:lnTo>
              <a:lnTo>
                <a:pt x="4503833" y="3695416"/>
              </a:lnTo>
              <a:lnTo>
                <a:pt x="4555280" y="3693604"/>
              </a:lnTo>
              <a:lnTo>
                <a:pt x="4606966" y="3691768"/>
              </a:lnTo>
              <a:lnTo>
                <a:pt x="4659160" y="3689907"/>
              </a:lnTo>
              <a:lnTo>
                <a:pt x="4712103" y="3688025"/>
              </a:lnTo>
              <a:lnTo>
                <a:pt x="4765622" y="3686121"/>
              </a:lnTo>
              <a:lnTo>
                <a:pt x="4819547" y="3684196"/>
              </a:lnTo>
              <a:lnTo>
                <a:pt x="4873703" y="3682250"/>
              </a:lnTo>
              <a:lnTo>
                <a:pt x="4927921" y="3680284"/>
              </a:lnTo>
              <a:lnTo>
                <a:pt x="4982028" y="3678298"/>
              </a:lnTo>
              <a:lnTo>
                <a:pt x="5035852" y="3676293"/>
              </a:lnTo>
              <a:lnTo>
                <a:pt x="5089756" y="3674277"/>
              </a:lnTo>
              <a:lnTo>
                <a:pt x="5144060" y="3672255"/>
              </a:lnTo>
              <a:lnTo>
                <a:pt x="5198527" y="3670217"/>
              </a:lnTo>
              <a:lnTo>
                <a:pt x="5252918" y="3668157"/>
              </a:lnTo>
              <a:lnTo>
                <a:pt x="5306995" y="3666066"/>
              </a:lnTo>
              <a:lnTo>
                <a:pt x="5360520" y="3663936"/>
              </a:lnTo>
              <a:lnTo>
                <a:pt x="5413255" y="3661759"/>
              </a:lnTo>
              <a:lnTo>
                <a:pt x="5464961" y="3659528"/>
              </a:lnTo>
              <a:lnTo>
                <a:pt x="5515960" y="3657236"/>
              </a:lnTo>
              <a:lnTo>
                <a:pt x="5566618" y="3654889"/>
              </a:lnTo>
              <a:lnTo>
                <a:pt x="5616760" y="3652496"/>
              </a:lnTo>
              <a:lnTo>
                <a:pt x="5666212" y="3650063"/>
              </a:lnTo>
              <a:lnTo>
                <a:pt x="5714801" y="3647600"/>
              </a:lnTo>
              <a:lnTo>
                <a:pt x="5762353" y="3645114"/>
              </a:lnTo>
              <a:lnTo>
                <a:pt x="5808694" y="3642614"/>
              </a:lnTo>
              <a:lnTo>
                <a:pt x="5853650" y="3640108"/>
              </a:lnTo>
              <a:lnTo>
                <a:pt x="5911765" y="3636719"/>
              </a:lnTo>
              <a:lnTo>
                <a:pt x="5968108" y="3633259"/>
              </a:lnTo>
              <a:lnTo>
                <a:pt x="6022505" y="3629765"/>
              </a:lnTo>
              <a:lnTo>
                <a:pt x="6074780" y="3626270"/>
              </a:lnTo>
              <a:lnTo>
                <a:pt x="6124757" y="3622810"/>
              </a:lnTo>
              <a:lnTo>
                <a:pt x="6172260" y="3619421"/>
              </a:lnTo>
              <a:lnTo>
                <a:pt x="6225958" y="3615419"/>
              </a:lnTo>
              <a:lnTo>
                <a:pt x="6276249" y="3611450"/>
              </a:lnTo>
              <a:lnTo>
                <a:pt x="6323280" y="3607540"/>
              </a:lnTo>
              <a:lnTo>
                <a:pt x="6367198" y="3603715"/>
              </a:lnTo>
              <a:lnTo>
                <a:pt x="6408150" y="3599998"/>
              </a:lnTo>
              <a:lnTo>
                <a:pt x="6454891" y="3595501"/>
              </a:lnTo>
              <a:lnTo>
                <a:pt x="6496670" y="3591146"/>
              </a:lnTo>
              <a:lnTo>
                <a:pt x="6567441" y="3582889"/>
              </a:lnTo>
              <a:lnTo>
                <a:pt x="6621524" y="3575273"/>
              </a:lnTo>
              <a:lnTo>
                <a:pt x="6661354" y="3568224"/>
              </a:lnTo>
              <a:lnTo>
                <a:pt x="6698575" y="3558525"/>
              </a:lnTo>
              <a:lnTo>
                <a:pt x="6721575" y="3543675"/>
              </a:lnTo>
              <a:lnTo>
                <a:pt x="6717524" y="3541700"/>
              </a:lnTo>
              <a:lnTo>
                <a:pt x="6675814" y="3537216"/>
              </a:lnTo>
              <a:lnTo>
                <a:pt x="6619415" y="3535516"/>
              </a:lnTo>
              <a:lnTo>
                <a:pt x="6565011" y="3534904"/>
              </a:lnTo>
              <a:lnTo>
                <a:pt x="6493618" y="3534591"/>
              </a:lnTo>
              <a:lnTo>
                <a:pt x="6451835" y="3534539"/>
              </a:lnTo>
              <a:lnTo>
                <a:pt x="6405847" y="3534520"/>
              </a:lnTo>
              <a:lnTo>
                <a:pt x="6355322" y="3534541"/>
              </a:lnTo>
              <a:lnTo>
                <a:pt x="6300419" y="3534610"/>
              </a:lnTo>
              <a:lnTo>
                <a:pt x="6241766" y="3534710"/>
              </a:lnTo>
              <a:lnTo>
                <a:pt x="6179991" y="3534822"/>
              </a:lnTo>
              <a:lnTo>
                <a:pt x="6128068" y="3534921"/>
              </a:lnTo>
              <a:lnTo>
                <a:pt x="6073657" y="3535036"/>
              </a:lnTo>
              <a:lnTo>
                <a:pt x="6017291" y="3535160"/>
              </a:lnTo>
              <a:lnTo>
                <a:pt x="5959506" y="3535288"/>
              </a:lnTo>
              <a:lnTo>
                <a:pt x="5900834" y="3535415"/>
              </a:lnTo>
              <a:lnTo>
                <a:pt x="5850967" y="3535519"/>
              </a:lnTo>
              <a:lnTo>
                <a:pt x="5799852" y="3535627"/>
              </a:lnTo>
              <a:lnTo>
                <a:pt x="5747874" y="3535736"/>
              </a:lnTo>
              <a:lnTo>
                <a:pt x="5695419" y="3535844"/>
              </a:lnTo>
              <a:lnTo>
                <a:pt x="5642871" y="3535950"/>
              </a:lnTo>
              <a:lnTo>
                <a:pt x="5590617" y="3536052"/>
              </a:lnTo>
              <a:lnTo>
                <a:pt x="5538257" y="3536151"/>
              </a:lnTo>
              <a:lnTo>
                <a:pt x="5485401" y="3536248"/>
              </a:lnTo>
              <a:lnTo>
                <a:pt x="5432453" y="3536342"/>
              </a:lnTo>
              <a:lnTo>
                <a:pt x="5379816" y="3536433"/>
              </a:lnTo>
              <a:lnTo>
                <a:pt x="5327893" y="3536521"/>
              </a:lnTo>
              <a:lnTo>
                <a:pt x="5277088" y="3536604"/>
              </a:lnTo>
              <a:lnTo>
                <a:pt x="5227103" y="3536664"/>
              </a:lnTo>
              <a:lnTo>
                <a:pt x="5177556" y="3536697"/>
              </a:lnTo>
              <a:lnTo>
                <a:pt x="5128723" y="3536727"/>
              </a:lnTo>
              <a:lnTo>
                <a:pt x="5080881" y="3536775"/>
              </a:lnTo>
              <a:lnTo>
                <a:pt x="5034304" y="3536865"/>
              </a:lnTo>
              <a:lnTo>
                <a:pt x="4989270" y="3537018"/>
              </a:lnTo>
              <a:lnTo>
                <a:pt x="4936933" y="3537296"/>
              </a:lnTo>
              <a:lnTo>
                <a:pt x="4886176" y="3537650"/>
              </a:lnTo>
              <a:lnTo>
                <a:pt x="4837364" y="3538055"/>
              </a:lnTo>
              <a:lnTo>
                <a:pt x="4790860" y="3538485"/>
              </a:lnTo>
              <a:lnTo>
                <a:pt x="4747028" y="3538914"/>
              </a:lnTo>
              <a:lnTo>
                <a:pt x="4695944" y="3539430"/>
              </a:lnTo>
              <a:lnTo>
                <a:pt x="4648649" y="3539956"/>
              </a:lnTo>
              <a:lnTo>
                <a:pt x="4605164" y="3540539"/>
              </a:lnTo>
              <a:lnTo>
                <a:pt x="4565514" y="3541229"/>
              </a:lnTo>
              <a:lnTo>
                <a:pt x="4498451" y="3543009"/>
              </a:lnTo>
              <a:lnTo>
                <a:pt x="4445221" y="3544979"/>
              </a:lnTo>
              <a:lnTo>
                <a:pt x="4403900" y="3547028"/>
              </a:lnTo>
              <a:lnTo>
                <a:pt x="4387767" y="3548006"/>
              </a:lnTo>
              <a:lnTo>
                <a:pt x="4374367" y="3548809"/>
              </a:lnTo>
              <a:lnTo>
                <a:pt x="4363783" y="3549512"/>
              </a:lnTo>
              <a:lnTo>
                <a:pt x="4356082" y="3550139"/>
              </a:lnTo>
              <a:lnTo>
                <a:pt x="4351027" y="3550500"/>
              </a:lnTo>
              <a:lnTo>
                <a:pt x="4348383" y="3550408"/>
              </a:lnTo>
              <a:lnTo>
                <a:pt x="4346358" y="3549900"/>
              </a:lnTo>
              <a:lnTo>
                <a:pt x="4351708" y="3548238"/>
              </a:lnTo>
              <a:lnTo>
                <a:pt x="4362217" y="3545760"/>
              </a:lnTo>
              <a:lnTo>
                <a:pt x="4371169" y="3543773"/>
              </a:lnTo>
              <a:lnTo>
                <a:pt x="4382310" y="3541468"/>
              </a:lnTo>
              <a:lnTo>
                <a:pt x="4395709" y="3538754"/>
              </a:lnTo>
              <a:lnTo>
                <a:pt x="4411437" y="3535538"/>
              </a:lnTo>
              <a:lnTo>
                <a:pt x="4429216" y="3531761"/>
              </a:lnTo>
              <a:lnTo>
                <a:pt x="4449107" y="3527484"/>
              </a:lnTo>
              <a:lnTo>
                <a:pt x="4471689" y="3522795"/>
              </a:lnTo>
              <a:lnTo>
                <a:pt x="4526380" y="3512466"/>
              </a:lnTo>
              <a:lnTo>
                <a:pt x="4593290" y="3500773"/>
              </a:lnTo>
              <a:lnTo>
                <a:pt x="4632820" y="3494429"/>
              </a:lnTo>
              <a:lnTo>
                <a:pt x="4676767" y="3487620"/>
              </a:lnTo>
              <a:lnTo>
                <a:pt x="4724763" y="3480388"/>
              </a:lnTo>
              <a:lnTo>
                <a:pt x="4776810" y="3473008"/>
              </a:lnTo>
              <a:lnTo>
                <a:pt x="4832911" y="3465757"/>
              </a:lnTo>
              <a:lnTo>
                <a:pt x="4880730" y="3460127"/>
              </a:lnTo>
              <a:lnTo>
                <a:pt x="4931163" y="3454552"/>
              </a:lnTo>
              <a:lnTo>
                <a:pt x="4984180" y="3448986"/>
              </a:lnTo>
              <a:lnTo>
                <a:pt x="5039750" y="3443379"/>
              </a:lnTo>
              <a:lnTo>
                <a:pt x="5097841" y="3437683"/>
              </a:lnTo>
              <a:lnTo>
                <a:pt x="5148477" y="3432801"/>
              </a:lnTo>
              <a:lnTo>
                <a:pt x="5201240" y="3427801"/>
              </a:lnTo>
              <a:lnTo>
                <a:pt x="5255768" y="3422761"/>
              </a:lnTo>
              <a:lnTo>
                <a:pt x="5311701" y="3417762"/>
              </a:lnTo>
              <a:lnTo>
                <a:pt x="5368675" y="3412882"/>
              </a:lnTo>
              <a:lnTo>
                <a:pt x="5426331" y="3408201"/>
              </a:lnTo>
              <a:lnTo>
                <a:pt x="5476676" y="3404351"/>
              </a:lnTo>
              <a:lnTo>
                <a:pt x="5528258" y="3400601"/>
              </a:lnTo>
              <a:lnTo>
                <a:pt x="5580724" y="3396943"/>
              </a:lnTo>
              <a:lnTo>
                <a:pt x="5633720" y="3393366"/>
              </a:lnTo>
              <a:lnTo>
                <a:pt x="5686892" y="3389860"/>
              </a:lnTo>
              <a:lnTo>
                <a:pt x="5739886" y="3386417"/>
              </a:lnTo>
              <a:lnTo>
                <a:pt x="5792348" y="3383026"/>
              </a:lnTo>
              <a:lnTo>
                <a:pt x="5844767" y="3379686"/>
              </a:lnTo>
              <a:lnTo>
                <a:pt x="5897622" y="3376405"/>
              </a:lnTo>
              <a:lnTo>
                <a:pt x="5950539" y="3373187"/>
              </a:lnTo>
              <a:lnTo>
                <a:pt x="6003150" y="3370038"/>
              </a:lnTo>
              <a:lnTo>
                <a:pt x="6055082" y="3366961"/>
              </a:lnTo>
              <a:lnTo>
                <a:pt x="6105964" y="3363962"/>
              </a:lnTo>
              <a:lnTo>
                <a:pt x="6155426" y="3361044"/>
              </a:lnTo>
              <a:lnTo>
                <a:pt x="6211835" y="3357727"/>
              </a:lnTo>
              <a:lnTo>
                <a:pt x="6267352" y="3354496"/>
              </a:lnTo>
              <a:lnTo>
                <a:pt x="6321608" y="3351368"/>
              </a:lnTo>
              <a:lnTo>
                <a:pt x="6374236" y="3348361"/>
              </a:lnTo>
              <a:lnTo>
                <a:pt x="6424869" y="3345491"/>
              </a:lnTo>
              <a:lnTo>
                <a:pt x="6473139" y="3342776"/>
              </a:lnTo>
              <a:lnTo>
                <a:pt x="6528131" y="3339722"/>
              </a:lnTo>
              <a:lnTo>
                <a:pt x="6580317" y="3336869"/>
              </a:lnTo>
              <a:lnTo>
                <a:pt x="6629596" y="3334213"/>
              </a:lnTo>
              <a:lnTo>
                <a:pt x="6675865" y="3331749"/>
              </a:lnTo>
              <a:lnTo>
                <a:pt x="6719022" y="3329471"/>
              </a:lnTo>
              <a:lnTo>
                <a:pt x="6768388" y="3326945"/>
              </a:lnTo>
              <a:lnTo>
                <a:pt x="6812854" y="3324755"/>
              </a:lnTo>
              <a:lnTo>
                <a:pt x="6852852" y="3322782"/>
              </a:lnTo>
              <a:lnTo>
                <a:pt x="6920504" y="3319151"/>
              </a:lnTo>
              <a:lnTo>
                <a:pt x="6971346" y="3316050"/>
              </a:lnTo>
              <a:lnTo>
                <a:pt x="7022541" y="3311543"/>
              </a:lnTo>
              <a:lnTo>
                <a:pt x="7048281" y="3307042"/>
              </a:lnTo>
              <a:lnTo>
                <a:pt x="7046901" y="3305511"/>
              </a:lnTo>
              <a:lnTo>
                <a:pt x="6993629" y="3301114"/>
              </a:lnTo>
              <a:lnTo>
                <a:pt x="6954885" y="3300033"/>
              </a:lnTo>
              <a:lnTo>
                <a:pt x="6904600" y="3299224"/>
              </a:lnTo>
              <a:lnTo>
                <a:pt x="6874967" y="3298753"/>
              </a:lnTo>
              <a:lnTo>
                <a:pt x="6842450" y="3298244"/>
              </a:lnTo>
              <a:lnTo>
                <a:pt x="6806556" y="3297987"/>
              </a:lnTo>
              <a:lnTo>
                <a:pt x="6766790" y="3298270"/>
              </a:lnTo>
              <a:lnTo>
                <a:pt x="6723033" y="3299213"/>
              </a:lnTo>
              <a:lnTo>
                <a:pt x="6675544" y="3300647"/>
              </a:lnTo>
              <a:lnTo>
                <a:pt x="6624398" y="3302432"/>
              </a:lnTo>
              <a:lnTo>
                <a:pt x="6569668" y="3304428"/>
              </a:lnTo>
              <a:lnTo>
                <a:pt x="6523172" y="3306164"/>
              </a:lnTo>
              <a:lnTo>
                <a:pt x="6474223" y="3308075"/>
              </a:lnTo>
              <a:lnTo>
                <a:pt x="6423036" y="3310146"/>
              </a:lnTo>
              <a:lnTo>
                <a:pt x="6369827" y="3312364"/>
              </a:lnTo>
              <a:lnTo>
                <a:pt x="6314811" y="3314715"/>
              </a:lnTo>
              <a:lnTo>
                <a:pt x="6267428" y="3316786"/>
              </a:lnTo>
              <a:lnTo>
                <a:pt x="6218491" y="3318967"/>
              </a:lnTo>
              <a:lnTo>
                <a:pt x="6168200" y="3321248"/>
              </a:lnTo>
              <a:lnTo>
                <a:pt x="6116755" y="3323614"/>
              </a:lnTo>
              <a:lnTo>
                <a:pt x="6064355" y="3326055"/>
              </a:lnTo>
              <a:lnTo>
                <a:pt x="6011201" y="3328557"/>
              </a:lnTo>
              <a:lnTo>
                <a:pt x="5964881" y="3330760"/>
              </a:lnTo>
              <a:lnTo>
                <a:pt x="5917671" y="3333028"/>
              </a:lnTo>
              <a:lnTo>
                <a:pt x="5869711" y="3335353"/>
              </a:lnTo>
              <a:lnTo>
                <a:pt x="5821146" y="3337727"/>
              </a:lnTo>
              <a:lnTo>
                <a:pt x="5772117" y="3340142"/>
              </a:lnTo>
              <a:lnTo>
                <a:pt x="5722766" y="3342590"/>
              </a:lnTo>
              <a:lnTo>
                <a:pt x="5673237" y="3345065"/>
              </a:lnTo>
              <a:lnTo>
                <a:pt x="5623340" y="3347588"/>
              </a:lnTo>
              <a:lnTo>
                <a:pt x="5572888" y="3350174"/>
              </a:lnTo>
              <a:lnTo>
                <a:pt x="5522020" y="3352804"/>
              </a:lnTo>
              <a:lnTo>
                <a:pt x="5470876" y="3355456"/>
              </a:lnTo>
              <a:lnTo>
                <a:pt x="5419598" y="3358110"/>
              </a:lnTo>
              <a:lnTo>
                <a:pt x="5368327" y="3360744"/>
              </a:lnTo>
              <a:lnTo>
                <a:pt x="5317202" y="3363338"/>
              </a:lnTo>
              <a:lnTo>
                <a:pt x="5265990" y="3365895"/>
              </a:lnTo>
              <a:lnTo>
                <a:pt x="5214488" y="3368433"/>
              </a:lnTo>
              <a:lnTo>
                <a:pt x="5162884" y="3370957"/>
              </a:lnTo>
              <a:lnTo>
                <a:pt x="5111363" y="3373471"/>
              </a:lnTo>
              <a:lnTo>
                <a:pt x="5060113" y="3375982"/>
              </a:lnTo>
              <a:lnTo>
                <a:pt x="5009319" y="3378493"/>
              </a:lnTo>
              <a:lnTo>
                <a:pt x="4959170" y="3381008"/>
              </a:lnTo>
              <a:lnTo>
                <a:pt x="4909396" y="3383539"/>
              </a:lnTo>
              <a:lnTo>
                <a:pt x="4859741" y="3386084"/>
              </a:lnTo>
              <a:lnTo>
                <a:pt x="4810412" y="3388631"/>
              </a:lnTo>
              <a:lnTo>
                <a:pt x="4761616" y="3391170"/>
              </a:lnTo>
              <a:lnTo>
                <a:pt x="4713559" y="3393687"/>
              </a:lnTo>
              <a:lnTo>
                <a:pt x="4666446" y="3396172"/>
              </a:lnTo>
              <a:lnTo>
                <a:pt x="4620485" y="3398613"/>
              </a:lnTo>
              <a:lnTo>
                <a:pt x="4568085" y="3401434"/>
              </a:lnTo>
              <a:lnTo>
                <a:pt x="4516726" y="3404245"/>
              </a:lnTo>
              <a:lnTo>
                <a:pt x="4466559" y="3407016"/>
              </a:lnTo>
              <a:lnTo>
                <a:pt x="4417737" y="3409720"/>
              </a:lnTo>
              <a:lnTo>
                <a:pt x="4370412" y="3412328"/>
              </a:lnTo>
              <a:lnTo>
                <a:pt x="4324738" y="3414812"/>
              </a:lnTo>
              <a:lnTo>
                <a:pt x="4271963" y="3417618"/>
              </a:lnTo>
              <a:lnTo>
                <a:pt x="4221246" y="3420267"/>
              </a:lnTo>
              <a:lnTo>
                <a:pt x="4172735" y="3422787"/>
              </a:lnTo>
              <a:lnTo>
                <a:pt x="4126575" y="3425207"/>
              </a:lnTo>
              <a:lnTo>
                <a:pt x="4082909" y="3427555"/>
              </a:lnTo>
              <a:lnTo>
                <a:pt x="4031838" y="3430400"/>
              </a:lnTo>
              <a:lnTo>
                <a:pt x="3984524" y="3433113"/>
              </a:lnTo>
              <a:lnTo>
                <a:pt x="3940938" y="3435664"/>
              </a:lnTo>
              <a:lnTo>
                <a:pt x="3901045" y="3438023"/>
              </a:lnTo>
              <a:lnTo>
                <a:pt x="3832589" y="3442152"/>
              </a:lnTo>
              <a:lnTo>
                <a:pt x="3778460" y="3445574"/>
              </a:lnTo>
              <a:lnTo>
                <a:pt x="3738226" y="3448489"/>
              </a:lnTo>
              <a:lnTo>
                <a:pt x="3723183" y="3449627"/>
              </a:lnTo>
              <a:lnTo>
                <a:pt x="3711216" y="3450383"/>
              </a:lnTo>
              <a:lnTo>
                <a:pt x="3697210" y="3451081"/>
              </a:lnTo>
              <a:lnTo>
                <a:pt x="3692368" y="3450945"/>
              </a:lnTo>
              <a:lnTo>
                <a:pt x="3694420" y="3449764"/>
              </a:lnTo>
              <a:lnTo>
                <a:pt x="3697554" y="3448752"/>
              </a:lnTo>
              <a:lnTo>
                <a:pt x="3703665" y="3447414"/>
              </a:lnTo>
              <a:lnTo>
                <a:pt x="3712431" y="3445633"/>
              </a:lnTo>
              <a:lnTo>
                <a:pt x="3723532" y="3443295"/>
              </a:lnTo>
              <a:lnTo>
                <a:pt x="3737151" y="3440300"/>
              </a:lnTo>
              <a:lnTo>
                <a:pt x="3753370" y="3436732"/>
              </a:lnTo>
              <a:lnTo>
                <a:pt x="3771717" y="3432753"/>
              </a:lnTo>
              <a:lnTo>
                <a:pt x="3791719" y="3428522"/>
              </a:lnTo>
              <a:lnTo>
                <a:pt x="3813343" y="3424081"/>
              </a:lnTo>
              <a:lnTo>
                <a:pt x="3836810" y="3419347"/>
              </a:lnTo>
              <a:lnTo>
                <a:pt x="3862032" y="3414287"/>
              </a:lnTo>
              <a:lnTo>
                <a:pt x="3888923" y="3408866"/>
              </a:lnTo>
              <a:lnTo>
                <a:pt x="3917787" y="3402991"/>
              </a:lnTo>
              <a:lnTo>
                <a:pt x="3948562" y="3396706"/>
              </a:lnTo>
              <a:lnTo>
                <a:pt x="3980608" y="3390193"/>
              </a:lnTo>
              <a:lnTo>
                <a:pt x="4046661" y="3377000"/>
              </a:lnTo>
              <a:lnTo>
                <a:pt x="4115948" y="3363408"/>
              </a:lnTo>
              <a:lnTo>
                <a:pt x="4186824" y="3349964"/>
              </a:lnTo>
              <a:lnTo>
                <a:pt x="4259290" y="3336666"/>
              </a:lnTo>
              <a:lnTo>
                <a:pt x="4330405" y="3323762"/>
              </a:lnTo>
              <a:lnTo>
                <a:pt x="4365601" y="3317456"/>
              </a:lnTo>
              <a:lnTo>
                <a:pt x="4400170" y="3311252"/>
              </a:lnTo>
              <a:lnTo>
                <a:pt x="4466204" y="3299154"/>
              </a:lnTo>
              <a:lnTo>
                <a:pt x="4528506" y="3287468"/>
              </a:lnTo>
              <a:lnTo>
                <a:pt x="4584787" y="3276614"/>
              </a:lnTo>
              <a:lnTo>
                <a:pt x="4635047" y="3266593"/>
              </a:lnTo>
              <a:lnTo>
                <a:pt x="4678353" y="3257397"/>
              </a:lnTo>
              <a:lnTo>
                <a:pt x="4730595" y="3245265"/>
              </a:lnTo>
              <a:lnTo>
                <a:pt x="4745200" y="3241817"/>
              </a:lnTo>
              <a:lnTo>
                <a:pt x="4790068" y="3229833"/>
              </a:lnTo>
              <a:lnTo>
                <a:pt x="4796458" y="3227375"/>
              </a:lnTo>
              <a:lnTo>
                <a:pt x="4795955" y="3225358"/>
              </a:lnTo>
              <a:lnTo>
                <a:pt x="4795452" y="3223342"/>
              </a:lnTo>
              <a:lnTo>
                <a:pt x="4788484" y="3221534"/>
              </a:lnTo>
              <a:lnTo>
                <a:pt x="4776154" y="3221051"/>
              </a:lnTo>
              <a:lnTo>
                <a:pt x="4765708" y="3220902"/>
              </a:lnTo>
              <a:lnTo>
                <a:pt x="4753031" y="3221133"/>
              </a:lnTo>
              <a:lnTo>
                <a:pt x="4703871" y="3223431"/>
              </a:lnTo>
              <a:lnTo>
                <a:pt x="4662207" y="3226170"/>
              </a:lnTo>
              <a:lnTo>
                <a:pt x="4613805" y="3230459"/>
              </a:lnTo>
              <a:lnTo>
                <a:pt x="4558664" y="3236298"/>
              </a:lnTo>
              <a:lnTo>
                <a:pt x="4493926" y="3243706"/>
              </a:lnTo>
              <a:lnTo>
                <a:pt x="4457869" y="3248079"/>
              </a:lnTo>
              <a:lnTo>
                <a:pt x="4419590" y="3252684"/>
              </a:lnTo>
              <a:lnTo>
                <a:pt x="4379243" y="3257322"/>
              </a:lnTo>
              <a:lnTo>
                <a:pt x="4336909" y="3261975"/>
              </a:lnTo>
              <a:lnTo>
                <a:pt x="4292493" y="3266740"/>
              </a:lnTo>
              <a:lnTo>
                <a:pt x="4245885" y="3271578"/>
              </a:lnTo>
              <a:lnTo>
                <a:pt x="4196978" y="3276453"/>
              </a:lnTo>
              <a:lnTo>
                <a:pt x="4145484" y="3281446"/>
              </a:lnTo>
              <a:lnTo>
                <a:pt x="4091548" y="3286546"/>
              </a:lnTo>
              <a:lnTo>
                <a:pt x="4035708" y="3291577"/>
              </a:lnTo>
              <a:lnTo>
                <a:pt x="3978501" y="3296362"/>
              </a:lnTo>
              <a:lnTo>
                <a:pt x="3931550" y="3299981"/>
              </a:lnTo>
              <a:lnTo>
                <a:pt x="3883320" y="3303476"/>
              </a:lnTo>
              <a:lnTo>
                <a:pt x="3834247" y="3306852"/>
              </a:lnTo>
              <a:lnTo>
                <a:pt x="3784761" y="3310117"/>
              </a:lnTo>
              <a:lnTo>
                <a:pt x="3735298" y="3313276"/>
              </a:lnTo>
              <a:lnTo>
                <a:pt x="3685512" y="3316344"/>
              </a:lnTo>
              <a:lnTo>
                <a:pt x="3635115" y="3319320"/>
              </a:lnTo>
              <a:lnTo>
                <a:pt x="3584623" y="3322177"/>
              </a:lnTo>
              <a:lnTo>
                <a:pt x="3534552" y="3324890"/>
              </a:lnTo>
              <a:lnTo>
                <a:pt x="3485418" y="3327436"/>
              </a:lnTo>
              <a:lnTo>
                <a:pt x="3436987" y="3329786"/>
              </a:lnTo>
              <a:lnTo>
                <a:pt x="3388913" y="3331957"/>
              </a:lnTo>
              <a:lnTo>
                <a:pt x="3341549" y="3333990"/>
              </a:lnTo>
              <a:lnTo>
                <a:pt x="3295250" y="3335928"/>
              </a:lnTo>
              <a:lnTo>
                <a:pt x="3250368" y="3337812"/>
              </a:lnTo>
              <a:lnTo>
                <a:pt x="3195901" y="3340060"/>
              </a:lnTo>
              <a:lnTo>
                <a:pt x="3143067" y="3342161"/>
              </a:lnTo>
              <a:lnTo>
                <a:pt x="3092507" y="3344173"/>
              </a:lnTo>
              <a:lnTo>
                <a:pt x="3044863" y="3346153"/>
              </a:lnTo>
              <a:lnTo>
                <a:pt x="3000138" y="3348131"/>
              </a:lnTo>
              <a:lnTo>
                <a:pt x="2958047" y="3350072"/>
              </a:lnTo>
              <a:lnTo>
                <a:pt x="2918793" y="3351935"/>
              </a:lnTo>
              <a:lnTo>
                <a:pt x="2849319" y="3355299"/>
              </a:lnTo>
              <a:lnTo>
                <a:pt x="2791713" y="3358225"/>
              </a:lnTo>
              <a:lnTo>
                <a:pt x="2747408" y="3360683"/>
              </a:lnTo>
              <a:lnTo>
                <a:pt x="2706193" y="3363517"/>
              </a:lnTo>
              <a:lnTo>
                <a:pt x="2692982" y="3365321"/>
              </a:lnTo>
              <a:lnTo>
                <a:pt x="2700948" y="3365921"/>
              </a:lnTo>
              <a:lnTo>
                <a:pt x="2753992" y="3367116"/>
              </a:lnTo>
              <a:lnTo>
                <a:pt x="2805787" y="3367593"/>
              </a:lnTo>
              <a:lnTo>
                <a:pt x="2838320" y="3367688"/>
              </a:lnTo>
              <a:lnTo>
                <a:pt x="2875786" y="3367506"/>
              </a:lnTo>
              <a:lnTo>
                <a:pt x="2918382" y="3367042"/>
              </a:lnTo>
              <a:lnTo>
                <a:pt x="2965874" y="3366360"/>
              </a:lnTo>
              <a:lnTo>
                <a:pt x="3017990" y="3365420"/>
              </a:lnTo>
              <a:lnTo>
                <a:pt x="3074462" y="3364184"/>
              </a:lnTo>
              <a:lnTo>
                <a:pt x="3122841" y="3362971"/>
              </a:lnTo>
              <a:lnTo>
                <a:pt x="3174175" y="3361570"/>
              </a:lnTo>
              <a:lnTo>
                <a:pt x="3228298" y="3359991"/>
              </a:lnTo>
              <a:lnTo>
                <a:pt x="3285047" y="3358243"/>
              </a:lnTo>
              <a:lnTo>
                <a:pt x="3344256" y="3356333"/>
              </a:lnTo>
              <a:lnTo>
                <a:pt x="3388168" y="3354835"/>
              </a:lnTo>
              <a:lnTo>
                <a:pt x="3433560" y="3353203"/>
              </a:lnTo>
              <a:lnTo>
                <a:pt x="3480304" y="3351474"/>
              </a:lnTo>
              <a:lnTo>
                <a:pt x="3528276" y="3349685"/>
              </a:lnTo>
              <a:lnTo>
                <a:pt x="3577350" y="3347870"/>
              </a:lnTo>
              <a:lnTo>
                <a:pt x="3627400" y="3346067"/>
              </a:lnTo>
              <a:lnTo>
                <a:pt x="3678301" y="3344311"/>
              </a:lnTo>
              <a:lnTo>
                <a:pt x="3723783" y="3342813"/>
              </a:lnTo>
              <a:lnTo>
                <a:pt x="3770356" y="3341326"/>
              </a:lnTo>
              <a:lnTo>
                <a:pt x="3817832" y="3339843"/>
              </a:lnTo>
              <a:lnTo>
                <a:pt x="3866026" y="3338357"/>
              </a:lnTo>
              <a:lnTo>
                <a:pt x="3914751" y="3336861"/>
              </a:lnTo>
              <a:lnTo>
                <a:pt x="3963820" y="3335349"/>
              </a:lnTo>
              <a:lnTo>
                <a:pt x="4013045" y="3333813"/>
              </a:lnTo>
              <a:lnTo>
                <a:pt x="4062242" y="3332247"/>
              </a:lnTo>
              <a:lnTo>
                <a:pt x="4111665" y="3330635"/>
              </a:lnTo>
              <a:lnTo>
                <a:pt x="4161603" y="3328975"/>
              </a:lnTo>
              <a:lnTo>
                <a:pt x="4211915" y="3327286"/>
              </a:lnTo>
              <a:lnTo>
                <a:pt x="4262463" y="3325583"/>
              </a:lnTo>
              <a:lnTo>
                <a:pt x="4313106" y="3323883"/>
              </a:lnTo>
              <a:lnTo>
                <a:pt x="4363705" y="3322204"/>
              </a:lnTo>
              <a:lnTo>
                <a:pt x="4414119" y="3320562"/>
              </a:lnTo>
              <a:lnTo>
                <a:pt x="4464209" y="3318974"/>
              </a:lnTo>
              <a:lnTo>
                <a:pt x="4514307" y="3317423"/>
              </a:lnTo>
              <a:lnTo>
                <a:pt x="4564691" y="3315886"/>
              </a:lnTo>
              <a:lnTo>
                <a:pt x="4615133" y="3314371"/>
              </a:lnTo>
              <a:lnTo>
                <a:pt x="4665409" y="3312884"/>
              </a:lnTo>
              <a:lnTo>
                <a:pt x="4715294" y="3311432"/>
              </a:lnTo>
              <a:lnTo>
                <a:pt x="4764561" y="3310021"/>
              </a:lnTo>
              <a:lnTo>
                <a:pt x="4812985" y="3308659"/>
              </a:lnTo>
              <a:lnTo>
                <a:pt x="4860341" y="3307351"/>
              </a:lnTo>
              <a:lnTo>
                <a:pt x="4913486" y="3305919"/>
              </a:lnTo>
              <a:lnTo>
                <a:pt x="4965957" y="3304542"/>
              </a:lnTo>
              <a:lnTo>
                <a:pt x="5017582" y="3303223"/>
              </a:lnTo>
              <a:lnTo>
                <a:pt x="5068186" y="3301961"/>
              </a:lnTo>
              <a:lnTo>
                <a:pt x="5117597" y="3300758"/>
              </a:lnTo>
              <a:lnTo>
                <a:pt x="5165641" y="3299614"/>
              </a:lnTo>
              <a:lnTo>
                <a:pt x="5212146" y="3298531"/>
              </a:lnTo>
              <a:lnTo>
                <a:pt x="5264663" y="3297348"/>
              </a:lnTo>
              <a:lnTo>
                <a:pt x="5315543" y="3296251"/>
              </a:lnTo>
              <a:lnTo>
                <a:pt x="5364642" y="3295236"/>
              </a:lnTo>
              <a:lnTo>
                <a:pt x="5411815" y="3294294"/>
              </a:lnTo>
              <a:lnTo>
                <a:pt x="5456918" y="3293421"/>
              </a:lnTo>
              <a:lnTo>
                <a:pt x="5499809" y="3292610"/>
              </a:lnTo>
              <a:lnTo>
                <a:pt x="5560024" y="3291529"/>
              </a:lnTo>
              <a:lnTo>
                <a:pt x="5615543" y="3290611"/>
              </a:lnTo>
              <a:lnTo>
                <a:pt x="5666488" y="3289827"/>
              </a:lnTo>
              <a:lnTo>
                <a:pt x="5712982" y="3289146"/>
              </a:lnTo>
              <a:lnTo>
                <a:pt x="5754882" y="3288579"/>
              </a:lnTo>
              <a:lnTo>
                <a:pt x="5825206" y="3287785"/>
              </a:lnTo>
              <a:lnTo>
                <a:pt x="5879340" y="3287286"/>
              </a:lnTo>
              <a:lnTo>
                <a:pt x="5930784" y="3287042"/>
              </a:lnTo>
              <a:lnTo>
                <a:pt x="5946552" y="3287001"/>
              </a:lnTo>
              <a:lnTo>
                <a:pt x="5951210" y="3287135"/>
              </a:lnTo>
              <a:lnTo>
                <a:pt x="5903088" y="3287910"/>
              </a:lnTo>
              <a:lnTo>
                <a:pt x="5849111" y="3288346"/>
              </a:lnTo>
              <a:lnTo>
                <a:pt x="5805240" y="3288511"/>
              </a:lnTo>
              <a:lnTo>
                <a:pt x="5780988" y="3288624"/>
              </a:lnTo>
              <a:lnTo>
                <a:pt x="5728637" y="3289204"/>
              </a:lnTo>
              <a:lnTo>
                <a:pt x="5670964" y="3290184"/>
              </a:lnTo>
              <a:lnTo>
                <a:pt x="5609163" y="3291648"/>
              </a:lnTo>
              <a:lnTo>
                <a:pt x="5543234" y="3293595"/>
              </a:lnTo>
              <a:lnTo>
                <a:pt x="5472780" y="3296504"/>
              </a:lnTo>
              <a:lnTo>
                <a:pt x="5397799" y="3300375"/>
              </a:lnTo>
              <a:lnTo>
                <a:pt x="5358042" y="3302509"/>
              </a:lnTo>
              <a:lnTo>
                <a:pt x="5316647" y="3304728"/>
              </a:lnTo>
              <a:lnTo>
                <a:pt x="5273746" y="3307070"/>
              </a:lnTo>
              <a:lnTo>
                <a:pt x="5229323" y="3309561"/>
              </a:lnTo>
              <a:lnTo>
                <a:pt x="5183361" y="3312226"/>
              </a:lnTo>
              <a:lnTo>
                <a:pt x="5135497" y="3315148"/>
              </a:lnTo>
              <a:lnTo>
                <a:pt x="5085860" y="3318289"/>
              </a:lnTo>
              <a:lnTo>
                <a:pt x="5035168" y="3321489"/>
              </a:lnTo>
              <a:lnTo>
                <a:pt x="4984142" y="3324587"/>
              </a:lnTo>
              <a:lnTo>
                <a:pt x="4932532" y="3327516"/>
              </a:lnTo>
              <a:lnTo>
                <a:pt x="4880101" y="3330370"/>
              </a:lnTo>
              <a:lnTo>
                <a:pt x="4827587" y="3333228"/>
              </a:lnTo>
              <a:lnTo>
                <a:pt x="4775726" y="3336168"/>
              </a:lnTo>
              <a:lnTo>
                <a:pt x="4724216" y="3339223"/>
              </a:lnTo>
              <a:lnTo>
                <a:pt x="4672832" y="3342347"/>
              </a:lnTo>
              <a:lnTo>
                <a:pt x="4622420" y="3345498"/>
              </a:lnTo>
              <a:lnTo>
                <a:pt x="4573830" y="3348630"/>
              </a:lnTo>
              <a:lnTo>
                <a:pt x="4526860" y="3351748"/>
              </a:lnTo>
              <a:lnTo>
                <a:pt x="4481201" y="3354869"/>
              </a:lnTo>
              <a:lnTo>
                <a:pt x="4437536" y="3357972"/>
              </a:lnTo>
              <a:lnTo>
                <a:pt x="4396550" y="3361035"/>
              </a:lnTo>
              <a:lnTo>
                <a:pt x="4358303" y="3364097"/>
              </a:lnTo>
              <a:lnTo>
                <a:pt x="4289159" y="3370123"/>
              </a:lnTo>
              <a:lnTo>
                <a:pt x="4230495" y="3375550"/>
              </a:lnTo>
              <a:lnTo>
                <a:pt x="4182309" y="3380377"/>
              </a:lnTo>
              <a:lnTo>
                <a:pt x="4143637" y="3384531"/>
              </a:lnTo>
              <a:lnTo>
                <a:pt x="4104003" y="3389365"/>
              </a:lnTo>
              <a:lnTo>
                <a:pt x="4087353" y="3391835"/>
              </a:lnTo>
              <a:lnTo>
                <a:pt x="4089963" y="3392030"/>
              </a:lnTo>
              <a:lnTo>
                <a:pt x="4093349" y="3392031"/>
              </a:lnTo>
              <a:lnTo>
                <a:pt x="4099509" y="3391760"/>
              </a:lnTo>
              <a:lnTo>
                <a:pt x="4108321" y="3391252"/>
              </a:lnTo>
              <a:lnTo>
                <a:pt x="4119664" y="3390539"/>
              </a:lnTo>
              <a:lnTo>
                <a:pt x="4133558" y="3389682"/>
              </a:lnTo>
              <a:lnTo>
                <a:pt x="4190497" y="3385602"/>
              </a:lnTo>
              <a:lnTo>
                <a:pt x="4240728" y="3380991"/>
              </a:lnTo>
              <a:lnTo>
                <a:pt x="4300651" y="3374922"/>
              </a:lnTo>
              <a:lnTo>
                <a:pt x="4370195" y="3367305"/>
              </a:lnTo>
              <a:lnTo>
                <a:pt x="4408497" y="3362964"/>
              </a:lnTo>
              <a:lnTo>
                <a:pt x="4449017" y="3358325"/>
              </a:lnTo>
              <a:lnTo>
                <a:pt x="4491945" y="3353289"/>
              </a:lnTo>
              <a:lnTo>
                <a:pt x="4537262" y="3347869"/>
              </a:lnTo>
              <a:lnTo>
                <a:pt x="4584555" y="3342279"/>
              </a:lnTo>
              <a:lnTo>
                <a:pt x="4633408" y="3336732"/>
              </a:lnTo>
              <a:lnTo>
                <a:pt x="4684042" y="3331284"/>
              </a:lnTo>
              <a:lnTo>
                <a:pt x="4736566" y="3325823"/>
              </a:lnTo>
              <a:lnTo>
                <a:pt x="4790406" y="3320305"/>
              </a:lnTo>
              <a:lnTo>
                <a:pt x="4844985" y="3314691"/>
              </a:lnTo>
              <a:lnTo>
                <a:pt x="4900639" y="3308900"/>
              </a:lnTo>
              <a:lnTo>
                <a:pt x="4957512" y="3302980"/>
              </a:lnTo>
              <a:lnTo>
                <a:pt x="5014742" y="3297070"/>
              </a:lnTo>
              <a:lnTo>
                <a:pt x="5071465" y="3291313"/>
              </a:lnTo>
              <a:lnTo>
                <a:pt x="5127931" y="3285741"/>
              </a:lnTo>
              <a:lnTo>
                <a:pt x="5184439" y="3280280"/>
              </a:lnTo>
              <a:lnTo>
                <a:pt x="5240206" y="3274913"/>
              </a:lnTo>
              <a:lnTo>
                <a:pt x="5294449" y="3269620"/>
              </a:lnTo>
              <a:lnTo>
                <a:pt x="5347192" y="3264370"/>
              </a:lnTo>
              <a:lnTo>
                <a:pt x="5398773" y="3259183"/>
              </a:lnTo>
              <a:lnTo>
                <a:pt x="5448887" y="3254113"/>
              </a:lnTo>
              <a:lnTo>
                <a:pt x="5497228" y="3249218"/>
              </a:lnTo>
              <a:lnTo>
                <a:pt x="5543979" y="3244465"/>
              </a:lnTo>
              <a:lnTo>
                <a:pt x="5589216" y="3239840"/>
              </a:lnTo>
              <a:lnTo>
                <a:pt x="5632467" y="3235427"/>
              </a:lnTo>
              <a:lnTo>
                <a:pt x="5673260" y="3231310"/>
              </a:lnTo>
              <a:lnTo>
                <a:pt x="5711600" y="3227499"/>
              </a:lnTo>
              <a:lnTo>
                <a:pt x="5781379" y="3220683"/>
              </a:lnTo>
              <a:lnTo>
                <a:pt x="5840840" y="3215039"/>
              </a:lnTo>
              <a:lnTo>
                <a:pt x="5866598" y="3212700"/>
              </a:lnTo>
              <a:lnTo>
                <a:pt x="5889985" y="3210568"/>
              </a:lnTo>
              <a:lnTo>
                <a:pt x="5930236" y="3206621"/>
              </a:lnTo>
              <a:lnTo>
                <a:pt x="5974605" y="3201546"/>
              </a:lnTo>
              <a:lnTo>
                <a:pt x="6017503" y="3193329"/>
              </a:lnTo>
              <a:lnTo>
                <a:pt x="6022860" y="3191661"/>
              </a:lnTo>
              <a:lnTo>
                <a:pt x="6022610" y="3190273"/>
              </a:lnTo>
              <a:lnTo>
                <a:pt x="6022362" y="3188885"/>
              </a:lnTo>
              <a:lnTo>
                <a:pt x="5977256" y="3185240"/>
              </a:lnTo>
              <a:lnTo>
                <a:pt x="5926050" y="3184111"/>
              </a:lnTo>
              <a:lnTo>
                <a:pt x="5880298" y="3183806"/>
              </a:lnTo>
              <a:lnTo>
                <a:pt x="5854124" y="3183828"/>
              </a:lnTo>
              <a:lnTo>
                <a:pt x="5794865" y="3184304"/>
              </a:lnTo>
              <a:lnTo>
                <a:pt x="5724693" y="3186331"/>
              </a:lnTo>
              <a:lnTo>
                <a:pt x="5685599" y="3187953"/>
              </a:lnTo>
              <a:lnTo>
                <a:pt x="5643607" y="3189909"/>
              </a:lnTo>
              <a:lnTo>
                <a:pt x="5598449" y="3192161"/>
              </a:lnTo>
              <a:lnTo>
                <a:pt x="5550141" y="3194617"/>
              </a:lnTo>
              <a:lnTo>
                <a:pt x="5498798" y="3197325"/>
              </a:lnTo>
              <a:lnTo>
                <a:pt x="5444297" y="3200453"/>
              </a:lnTo>
              <a:lnTo>
                <a:pt x="5386519" y="3204171"/>
              </a:lnTo>
              <a:lnTo>
                <a:pt x="5337849" y="3207668"/>
              </a:lnTo>
              <a:lnTo>
                <a:pt x="5287039" y="3211579"/>
              </a:lnTo>
              <a:lnTo>
                <a:pt x="5234191" y="3215794"/>
              </a:lnTo>
              <a:lnTo>
                <a:pt x="5179408" y="3220207"/>
              </a:lnTo>
              <a:lnTo>
                <a:pt x="5122793" y="3224707"/>
              </a:lnTo>
              <a:lnTo>
                <a:pt x="5074101" y="3228554"/>
              </a:lnTo>
              <a:lnTo>
                <a:pt x="5023947" y="3232553"/>
              </a:lnTo>
              <a:lnTo>
                <a:pt x="4972472" y="3236663"/>
              </a:lnTo>
              <a:lnTo>
                <a:pt x="4919820" y="3240844"/>
              </a:lnTo>
              <a:lnTo>
                <a:pt x="4866132" y="3245055"/>
              </a:lnTo>
              <a:lnTo>
                <a:pt x="4811550" y="3249255"/>
              </a:lnTo>
              <a:lnTo>
                <a:pt x="4763984" y="3252864"/>
              </a:lnTo>
              <a:lnTo>
                <a:pt x="4715580" y="3256514"/>
              </a:lnTo>
              <a:lnTo>
                <a:pt x="4666395" y="3260191"/>
              </a:lnTo>
              <a:lnTo>
                <a:pt x="4616488" y="3263880"/>
              </a:lnTo>
              <a:lnTo>
                <a:pt x="4565916" y="3267567"/>
              </a:lnTo>
              <a:lnTo>
                <a:pt x="4514736" y="3271237"/>
              </a:lnTo>
              <a:lnTo>
                <a:pt x="4463006" y="3274876"/>
              </a:lnTo>
              <a:lnTo>
                <a:pt x="4410561" y="3278481"/>
              </a:lnTo>
              <a:lnTo>
                <a:pt x="4357296" y="3282064"/>
              </a:lnTo>
              <a:lnTo>
                <a:pt x="4303356" y="3285632"/>
              </a:lnTo>
              <a:lnTo>
                <a:pt x="4248885" y="3289194"/>
              </a:lnTo>
              <a:lnTo>
                <a:pt x="4194031" y="3292757"/>
              </a:lnTo>
              <a:lnTo>
                <a:pt x="4138937" y="3296329"/>
              </a:lnTo>
              <a:lnTo>
                <a:pt x="4083749" y="3299918"/>
              </a:lnTo>
              <a:lnTo>
                <a:pt x="4035244" y="3303079"/>
              </a:lnTo>
              <a:lnTo>
                <a:pt x="3986368" y="3306256"/>
              </a:lnTo>
              <a:lnTo>
                <a:pt x="3937210" y="3309444"/>
              </a:lnTo>
              <a:lnTo>
                <a:pt x="3887862" y="3312633"/>
              </a:lnTo>
              <a:lnTo>
                <a:pt x="3838416" y="3315819"/>
              </a:lnTo>
              <a:lnTo>
                <a:pt x="3788962" y="3318992"/>
              </a:lnTo>
              <a:lnTo>
                <a:pt x="3739592" y="3322146"/>
              </a:lnTo>
              <a:lnTo>
                <a:pt x="3690398" y="3325274"/>
              </a:lnTo>
              <a:lnTo>
                <a:pt x="3641270" y="3328382"/>
              </a:lnTo>
              <a:lnTo>
                <a:pt x="3592076" y="3331481"/>
              </a:lnTo>
              <a:lnTo>
                <a:pt x="3542869" y="3334567"/>
              </a:lnTo>
              <a:lnTo>
                <a:pt x="3493703" y="3337638"/>
              </a:lnTo>
              <a:lnTo>
                <a:pt x="3444631" y="3340691"/>
              </a:lnTo>
              <a:lnTo>
                <a:pt x="3395708" y="3343723"/>
              </a:lnTo>
              <a:lnTo>
                <a:pt x="3346986" y="3346732"/>
              </a:lnTo>
              <a:lnTo>
                <a:pt x="3298520" y="3349716"/>
              </a:lnTo>
              <a:lnTo>
                <a:pt x="3250242" y="3352697"/>
              </a:lnTo>
              <a:lnTo>
                <a:pt x="3202071" y="3355688"/>
              </a:lnTo>
              <a:lnTo>
                <a:pt x="3154042" y="3358670"/>
              </a:lnTo>
              <a:lnTo>
                <a:pt x="3106192" y="3361625"/>
              </a:lnTo>
              <a:lnTo>
                <a:pt x="3058554" y="3364532"/>
              </a:lnTo>
              <a:lnTo>
                <a:pt x="3011164" y="3367375"/>
              </a:lnTo>
              <a:lnTo>
                <a:pt x="2964059" y="3370132"/>
              </a:lnTo>
              <a:lnTo>
                <a:pt x="2917271" y="3372786"/>
              </a:lnTo>
              <a:lnTo>
                <a:pt x="2864051" y="3375699"/>
              </a:lnTo>
              <a:lnTo>
                <a:pt x="2811016" y="3378508"/>
              </a:lnTo>
              <a:lnTo>
                <a:pt x="2758283" y="3381221"/>
              </a:lnTo>
              <a:lnTo>
                <a:pt x="2705966" y="3383845"/>
              </a:lnTo>
              <a:lnTo>
                <a:pt x="2654180" y="3386386"/>
              </a:lnTo>
              <a:lnTo>
                <a:pt x="2603041" y="3388852"/>
              </a:lnTo>
              <a:lnTo>
                <a:pt x="2552662" y="3391248"/>
              </a:lnTo>
              <a:lnTo>
                <a:pt x="2502993" y="3393579"/>
              </a:lnTo>
              <a:lnTo>
                <a:pt x="2453914" y="3395838"/>
              </a:lnTo>
              <a:lnTo>
                <a:pt x="2405439" y="3398021"/>
              </a:lnTo>
              <a:lnTo>
                <a:pt x="2357580" y="3400123"/>
              </a:lnTo>
              <a:lnTo>
                <a:pt x="2310352" y="3402138"/>
              </a:lnTo>
              <a:lnTo>
                <a:pt x="2263766" y="3404061"/>
              </a:lnTo>
              <a:lnTo>
                <a:pt x="2217836" y="3405888"/>
              </a:lnTo>
              <a:lnTo>
                <a:pt x="2164920" y="3407895"/>
              </a:lnTo>
              <a:lnTo>
                <a:pt x="2112690" y="3409773"/>
              </a:lnTo>
              <a:lnTo>
                <a:pt x="2061329" y="3411529"/>
              </a:lnTo>
              <a:lnTo>
                <a:pt x="2011021" y="3413170"/>
              </a:lnTo>
              <a:lnTo>
                <a:pt x="1961951" y="3414701"/>
              </a:lnTo>
              <a:lnTo>
                <a:pt x="1914302" y="3416128"/>
              </a:lnTo>
              <a:lnTo>
                <a:pt x="1858879" y="3417689"/>
              </a:lnTo>
              <a:lnTo>
                <a:pt x="1805176" y="3419078"/>
              </a:lnTo>
              <a:lnTo>
                <a:pt x="1753286" y="3420316"/>
              </a:lnTo>
              <a:lnTo>
                <a:pt x="1703304" y="3421425"/>
              </a:lnTo>
              <a:lnTo>
                <a:pt x="1655324" y="3422427"/>
              </a:lnTo>
              <a:lnTo>
                <a:pt x="1598149" y="3423504"/>
              </a:lnTo>
              <a:lnTo>
                <a:pt x="1544000" y="3424376"/>
              </a:lnTo>
              <a:lnTo>
                <a:pt x="1492888" y="3425088"/>
              </a:lnTo>
              <a:lnTo>
                <a:pt x="1444821" y="3425685"/>
              </a:lnTo>
              <a:lnTo>
                <a:pt x="1399841" y="3426156"/>
              </a:lnTo>
              <a:lnTo>
                <a:pt x="1357929" y="3426484"/>
              </a:lnTo>
              <a:lnTo>
                <a:pt x="1319007" y="3426708"/>
              </a:lnTo>
              <a:lnTo>
                <a:pt x="1250012" y="3426956"/>
              </a:lnTo>
              <a:lnTo>
                <a:pt x="1220052" y="3426957"/>
              </a:lnTo>
              <a:lnTo>
                <a:pt x="1192855" y="3426899"/>
              </a:lnTo>
              <a:lnTo>
                <a:pt x="1146108" y="3426733"/>
              </a:lnTo>
              <a:lnTo>
                <a:pt x="1094713" y="3426149"/>
              </a:lnTo>
              <a:lnTo>
                <a:pt x="1054452" y="3423672"/>
              </a:lnTo>
              <a:lnTo>
                <a:pt x="1037628" y="3419090"/>
              </a:lnTo>
              <a:lnTo>
                <a:pt x="1035259" y="3416977"/>
              </a:lnTo>
              <a:lnTo>
                <a:pt x="1070163" y="3393805"/>
              </a:lnTo>
              <a:lnTo>
                <a:pt x="1115613" y="3375538"/>
              </a:lnTo>
              <a:lnTo>
                <a:pt x="1163031" y="3358400"/>
              </a:lnTo>
              <a:lnTo>
                <a:pt x="1200211" y="3346983"/>
              </a:lnTo>
              <a:lnTo>
                <a:pt x="1241471" y="3335548"/>
              </a:lnTo>
              <a:lnTo>
                <a:pt x="1286542" y="3324241"/>
              </a:lnTo>
              <a:lnTo>
                <a:pt x="1334864" y="3313079"/>
              </a:lnTo>
              <a:lnTo>
                <a:pt x="1386146" y="3302028"/>
              </a:lnTo>
              <a:lnTo>
                <a:pt x="1439307" y="3291380"/>
              </a:lnTo>
              <a:lnTo>
                <a:pt x="1493992" y="3281426"/>
              </a:lnTo>
              <a:lnTo>
                <a:pt x="1547727" y="3272137"/>
              </a:lnTo>
              <a:lnTo>
                <a:pt x="1598160" y="3263510"/>
              </a:lnTo>
              <a:lnTo>
                <a:pt x="1644567" y="3255771"/>
              </a:lnTo>
              <a:lnTo>
                <a:pt x="1685415" y="3249276"/>
              </a:lnTo>
              <a:lnTo>
                <a:pt x="1703842" y="3246385"/>
              </a:lnTo>
              <a:lnTo>
                <a:pt x="1750595" y="3238390"/>
              </a:lnTo>
              <a:lnTo>
                <a:pt x="1794633" y="3229604"/>
              </a:lnTo>
              <a:lnTo>
                <a:pt x="1797942" y="3228351"/>
              </a:lnTo>
              <a:lnTo>
                <a:pt x="1793673" y="3229082"/>
              </a:lnTo>
              <a:lnTo>
                <a:pt x="1783638" y="3230281"/>
              </a:lnTo>
              <a:lnTo>
                <a:pt x="1774992" y="3231361"/>
              </a:lnTo>
              <a:lnTo>
                <a:pt x="1764145" y="3232754"/>
              </a:lnTo>
              <a:lnTo>
                <a:pt x="1751154" y="3234381"/>
              </a:lnTo>
              <a:lnTo>
                <a:pt x="1736077" y="3236164"/>
              </a:lnTo>
              <a:lnTo>
                <a:pt x="1718775" y="3238045"/>
              </a:lnTo>
              <a:lnTo>
                <a:pt x="1699269" y="3240078"/>
              </a:lnTo>
              <a:lnTo>
                <a:pt x="1677856" y="3242353"/>
              </a:lnTo>
              <a:lnTo>
                <a:pt x="1654833" y="3244958"/>
              </a:lnTo>
              <a:lnTo>
                <a:pt x="1630142" y="3247983"/>
              </a:lnTo>
              <a:lnTo>
                <a:pt x="1603671" y="3251357"/>
              </a:lnTo>
              <a:lnTo>
                <a:pt x="1575635" y="3254936"/>
              </a:lnTo>
              <a:lnTo>
                <a:pt x="1546247" y="3258573"/>
              </a:lnTo>
              <a:lnTo>
                <a:pt x="1483032" y="3266138"/>
              </a:lnTo>
              <a:lnTo>
                <a:pt x="1414896" y="3273902"/>
              </a:lnTo>
              <a:lnTo>
                <a:pt x="1342725" y="3281373"/>
              </a:lnTo>
              <a:lnTo>
                <a:pt x="1305184" y="3285152"/>
              </a:lnTo>
              <a:lnTo>
                <a:pt x="1266938" y="3289105"/>
              </a:lnTo>
              <a:lnTo>
                <a:pt x="1227810" y="3293308"/>
              </a:lnTo>
              <a:lnTo>
                <a:pt x="1187769" y="3297688"/>
              </a:lnTo>
              <a:lnTo>
                <a:pt x="1147242" y="3302129"/>
              </a:lnTo>
              <a:lnTo>
                <a:pt x="1106656" y="3306518"/>
              </a:lnTo>
              <a:lnTo>
                <a:pt x="1065886" y="3310863"/>
              </a:lnTo>
              <a:lnTo>
                <a:pt x="1024784" y="3315211"/>
              </a:lnTo>
              <a:lnTo>
                <a:pt x="983741" y="3319508"/>
              </a:lnTo>
              <a:lnTo>
                <a:pt x="943147" y="3323698"/>
              </a:lnTo>
              <a:lnTo>
                <a:pt x="902992" y="3327741"/>
              </a:lnTo>
              <a:lnTo>
                <a:pt x="863104" y="3331676"/>
              </a:lnTo>
              <a:lnTo>
                <a:pt x="823639" y="3335562"/>
              </a:lnTo>
              <a:lnTo>
                <a:pt x="784751" y="3339459"/>
              </a:lnTo>
              <a:lnTo>
                <a:pt x="746386" y="3343399"/>
              </a:lnTo>
              <a:lnTo>
                <a:pt x="708492" y="3347344"/>
              </a:lnTo>
              <a:lnTo>
                <a:pt x="671232" y="3351250"/>
              </a:lnTo>
              <a:lnTo>
                <a:pt x="634769" y="3355072"/>
              </a:lnTo>
              <a:lnTo>
                <a:pt x="598945" y="3358810"/>
              </a:lnTo>
              <a:lnTo>
                <a:pt x="563742" y="3362482"/>
              </a:lnTo>
              <a:lnTo>
                <a:pt x="529525" y="3366076"/>
              </a:lnTo>
              <a:lnTo>
                <a:pt x="465122" y="3372983"/>
              </a:lnTo>
              <a:lnTo>
                <a:pt x="405735" y="3379532"/>
              </a:lnTo>
              <a:lnTo>
                <a:pt x="352246" y="3385749"/>
              </a:lnTo>
              <a:lnTo>
                <a:pt x="304654" y="3391635"/>
              </a:lnTo>
              <a:lnTo>
                <a:pt x="263347" y="3397298"/>
              </a:lnTo>
              <a:lnTo>
                <a:pt x="214659" y="3405239"/>
              </a:lnTo>
              <a:lnTo>
                <a:pt x="186047" y="3416017"/>
              </a:lnTo>
              <a:lnTo>
                <a:pt x="191600" y="3417630"/>
              </a:lnTo>
              <a:lnTo>
                <a:pt x="241083" y="3421937"/>
              </a:lnTo>
              <a:lnTo>
                <a:pt x="290689" y="3424590"/>
              </a:lnTo>
              <a:lnTo>
                <a:pt x="360243" y="3427858"/>
              </a:lnTo>
              <a:lnTo>
                <a:pt x="402856" y="3429706"/>
              </a:lnTo>
              <a:lnTo>
                <a:pt x="451773" y="3431759"/>
              </a:lnTo>
              <a:lnTo>
                <a:pt x="495569" y="3433558"/>
              </a:lnTo>
              <a:lnTo>
                <a:pt x="543220" y="3435478"/>
              </a:lnTo>
              <a:lnTo>
                <a:pt x="594736" y="3437520"/>
              </a:lnTo>
              <a:lnTo>
                <a:pt x="650124" y="3439682"/>
              </a:lnTo>
              <a:lnTo>
                <a:pt x="709391" y="3441966"/>
              </a:lnTo>
              <a:lnTo>
                <a:pt x="754200" y="3443647"/>
              </a:lnTo>
              <a:lnTo>
                <a:pt x="801120" y="3445358"/>
              </a:lnTo>
              <a:lnTo>
                <a:pt x="850050" y="3447123"/>
              </a:lnTo>
              <a:lnTo>
                <a:pt x="900889" y="3448966"/>
              </a:lnTo>
              <a:lnTo>
                <a:pt x="953539" y="3450909"/>
              </a:lnTo>
              <a:lnTo>
                <a:pt x="1007898" y="3452978"/>
              </a:lnTo>
              <a:lnTo>
                <a:pt x="1063867" y="3455196"/>
              </a:lnTo>
              <a:lnTo>
                <a:pt x="1108637" y="3457037"/>
              </a:lnTo>
              <a:lnTo>
                <a:pt x="1154628" y="3458971"/>
              </a:lnTo>
              <a:lnTo>
                <a:pt x="1201757" y="3460989"/>
              </a:lnTo>
              <a:lnTo>
                <a:pt x="1249940" y="3463077"/>
              </a:lnTo>
              <a:lnTo>
                <a:pt x="1299095" y="3465224"/>
              </a:lnTo>
              <a:lnTo>
                <a:pt x="1349137" y="3467419"/>
              </a:lnTo>
              <a:lnTo>
                <a:pt x="1399984" y="3469649"/>
              </a:lnTo>
              <a:lnTo>
                <a:pt x="1451553" y="3471904"/>
              </a:lnTo>
              <a:lnTo>
                <a:pt x="1503759" y="3474170"/>
              </a:lnTo>
              <a:lnTo>
                <a:pt x="1551523" y="3476220"/>
              </a:lnTo>
              <a:lnTo>
                <a:pt x="1600235" y="3478290"/>
              </a:lnTo>
              <a:lnTo>
                <a:pt x="1649767" y="3480383"/>
              </a:lnTo>
              <a:lnTo>
                <a:pt x="1699994" y="3482504"/>
              </a:lnTo>
              <a:lnTo>
                <a:pt x="1750788" y="3484656"/>
              </a:lnTo>
              <a:lnTo>
                <a:pt x="1802022" y="3486844"/>
              </a:lnTo>
              <a:lnTo>
                <a:pt x="1853569" y="3489071"/>
              </a:lnTo>
              <a:lnTo>
                <a:pt x="1905304" y="3491342"/>
              </a:lnTo>
              <a:lnTo>
                <a:pt x="1957098" y="3493660"/>
              </a:lnTo>
              <a:lnTo>
                <a:pt x="2008826" y="3496030"/>
              </a:lnTo>
              <a:lnTo>
                <a:pt x="2060865" y="3498469"/>
              </a:lnTo>
              <a:lnTo>
                <a:pt x="2113558" y="3500985"/>
              </a:lnTo>
              <a:lnTo>
                <a:pt x="2166724" y="3503563"/>
              </a:lnTo>
              <a:lnTo>
                <a:pt x="2220178" y="3506187"/>
              </a:lnTo>
              <a:lnTo>
                <a:pt x="2273741" y="3508844"/>
              </a:lnTo>
              <a:lnTo>
                <a:pt x="2327229" y="3511518"/>
              </a:lnTo>
              <a:lnTo>
                <a:pt x="2380461" y="3514196"/>
              </a:lnTo>
              <a:lnTo>
                <a:pt x="2433254" y="3516861"/>
              </a:lnTo>
              <a:lnTo>
                <a:pt x="2485426" y="3519499"/>
              </a:lnTo>
              <a:lnTo>
                <a:pt x="2536796" y="3522096"/>
              </a:lnTo>
              <a:lnTo>
                <a:pt x="2587717" y="3524682"/>
              </a:lnTo>
              <a:lnTo>
                <a:pt x="2638576" y="3527288"/>
              </a:lnTo>
              <a:lnTo>
                <a:pt x="2689237" y="3529903"/>
              </a:lnTo>
              <a:lnTo>
                <a:pt x="2739564" y="3532515"/>
              </a:lnTo>
              <a:lnTo>
                <a:pt x="2789424" y="3535111"/>
              </a:lnTo>
              <a:lnTo>
                <a:pt x="2838682" y="3537681"/>
              </a:lnTo>
              <a:lnTo>
                <a:pt x="2887201" y="3540213"/>
              </a:lnTo>
              <a:lnTo>
                <a:pt x="2934848" y="3542693"/>
              </a:lnTo>
              <a:lnTo>
                <a:pt x="2981487" y="3545111"/>
              </a:lnTo>
              <a:lnTo>
                <a:pt x="3026983" y="3547455"/>
              </a:lnTo>
              <a:lnTo>
                <a:pt x="3082616" y="3550305"/>
              </a:lnTo>
              <a:lnTo>
                <a:pt x="3137212" y="3553094"/>
              </a:lnTo>
              <a:lnTo>
                <a:pt x="3190617" y="3555814"/>
              </a:lnTo>
              <a:lnTo>
                <a:pt x="3242677" y="3558460"/>
              </a:lnTo>
              <a:lnTo>
                <a:pt x="3293239" y="3561023"/>
              </a:lnTo>
              <a:lnTo>
                <a:pt x="3342149" y="3563497"/>
              </a:lnTo>
              <a:lnTo>
                <a:pt x="3389253" y="3565875"/>
              </a:lnTo>
              <a:lnTo>
                <a:pt x="3434397" y="3568150"/>
              </a:lnTo>
              <a:lnTo>
                <a:pt x="3491749" y="3571006"/>
              </a:lnTo>
              <a:lnTo>
                <a:pt x="3546133" y="3573672"/>
              </a:lnTo>
              <a:lnTo>
                <a:pt x="3597488" y="3576176"/>
              </a:lnTo>
              <a:lnTo>
                <a:pt x="3645755" y="3578545"/>
              </a:lnTo>
              <a:lnTo>
                <a:pt x="3690874" y="3580808"/>
              </a:lnTo>
              <a:lnTo>
                <a:pt x="3732784" y="3582993"/>
              </a:lnTo>
              <a:lnTo>
                <a:pt x="3789726" y="3586067"/>
              </a:lnTo>
              <a:lnTo>
                <a:pt x="3839620" y="3588875"/>
              </a:lnTo>
              <a:lnTo>
                <a:pt x="3882357" y="3591496"/>
              </a:lnTo>
              <a:lnTo>
                <a:pt x="3945998" y="3596357"/>
              </a:lnTo>
              <a:lnTo>
                <a:pt x="3987189" y="3602856"/>
              </a:lnTo>
              <a:lnTo>
                <a:pt x="3986168" y="3605216"/>
              </a:lnTo>
              <a:lnTo>
                <a:pt x="3941535" y="3612357"/>
              </a:lnTo>
              <a:lnTo>
                <a:pt x="3880254" y="3616570"/>
              </a:lnTo>
              <a:lnTo>
                <a:pt x="3840979" y="3618576"/>
              </a:lnTo>
              <a:lnTo>
                <a:pt x="3797511" y="3620569"/>
              </a:lnTo>
              <a:lnTo>
                <a:pt x="3749273" y="3622582"/>
              </a:lnTo>
              <a:lnTo>
                <a:pt x="3695934" y="3624587"/>
              </a:lnTo>
              <a:lnTo>
                <a:pt x="3639047" y="3626530"/>
              </a:lnTo>
              <a:lnTo>
                <a:pt x="3580162" y="3628361"/>
              </a:lnTo>
              <a:lnTo>
                <a:pt x="3531386" y="3629739"/>
              </a:lnTo>
              <a:lnTo>
                <a:pt x="3480523" y="3631062"/>
              </a:lnTo>
              <a:lnTo>
                <a:pt x="3428290" y="3632320"/>
              </a:lnTo>
              <a:lnTo>
                <a:pt x="3375403" y="3633508"/>
              </a:lnTo>
              <a:lnTo>
                <a:pt x="3322579" y="3634618"/>
              </a:lnTo>
              <a:lnTo>
                <a:pt x="3269603" y="3635595"/>
              </a:lnTo>
              <a:lnTo>
                <a:pt x="3215998" y="3636444"/>
              </a:lnTo>
              <a:lnTo>
                <a:pt x="3162086" y="3637248"/>
              </a:lnTo>
              <a:lnTo>
                <a:pt x="3108189" y="3638087"/>
              </a:lnTo>
              <a:lnTo>
                <a:pt x="3054632" y="3639043"/>
              </a:lnTo>
              <a:lnTo>
                <a:pt x="3001366" y="3640146"/>
              </a:lnTo>
              <a:lnTo>
                <a:pt x="2948176" y="3641340"/>
              </a:lnTo>
              <a:lnTo>
                <a:pt x="2895134" y="3642583"/>
              </a:lnTo>
              <a:lnTo>
                <a:pt x="2842310" y="3643831"/>
              </a:lnTo>
              <a:lnTo>
                <a:pt x="2789775" y="3645041"/>
              </a:lnTo>
              <a:lnTo>
                <a:pt x="2737523" y="3646201"/>
              </a:lnTo>
              <a:lnTo>
                <a:pt x="2685505" y="3647339"/>
              </a:lnTo>
              <a:lnTo>
                <a:pt x="2633733" y="3648473"/>
              </a:lnTo>
              <a:lnTo>
                <a:pt x="2582218" y="3649623"/>
              </a:lnTo>
              <a:lnTo>
                <a:pt x="2530969" y="3650805"/>
              </a:lnTo>
              <a:lnTo>
                <a:pt x="2479873" y="3652016"/>
              </a:lnTo>
              <a:lnTo>
                <a:pt x="2428921" y="3653244"/>
              </a:lnTo>
              <a:lnTo>
                <a:pt x="2378287" y="3654494"/>
              </a:lnTo>
              <a:lnTo>
                <a:pt x="2328144" y="3655775"/>
              </a:lnTo>
              <a:lnTo>
                <a:pt x="2278665" y="3657093"/>
              </a:lnTo>
              <a:lnTo>
                <a:pt x="2229702" y="3658396"/>
              </a:lnTo>
              <a:lnTo>
                <a:pt x="2181137" y="3659680"/>
              </a:lnTo>
              <a:lnTo>
                <a:pt x="2133197" y="3661022"/>
              </a:lnTo>
              <a:lnTo>
                <a:pt x="2086106" y="3662501"/>
              </a:lnTo>
              <a:lnTo>
                <a:pt x="2040089" y="3664194"/>
              </a:lnTo>
              <a:lnTo>
                <a:pt x="1983886" y="3666657"/>
              </a:lnTo>
              <a:lnTo>
                <a:pt x="1929014" y="3669410"/>
              </a:lnTo>
              <a:lnTo>
                <a:pt x="1875812" y="3672345"/>
              </a:lnTo>
              <a:lnTo>
                <a:pt x="1824621" y="3675354"/>
              </a:lnTo>
              <a:lnTo>
                <a:pt x="1775420" y="3678452"/>
              </a:lnTo>
              <a:lnTo>
                <a:pt x="1728063" y="3681682"/>
              </a:lnTo>
              <a:lnTo>
                <a:pt x="1682708" y="3684976"/>
              </a:lnTo>
              <a:lnTo>
                <a:pt x="1639509" y="3688267"/>
              </a:lnTo>
              <a:lnTo>
                <a:pt x="1598399" y="3691560"/>
              </a:lnTo>
              <a:lnTo>
                <a:pt x="1559331" y="3694884"/>
              </a:lnTo>
              <a:lnTo>
                <a:pt x="1488077" y="3701481"/>
              </a:lnTo>
              <a:lnTo>
                <a:pt x="1426579" y="3708029"/>
              </a:lnTo>
              <a:lnTo>
                <a:pt x="1374367" y="3714219"/>
              </a:lnTo>
              <a:lnTo>
                <a:pt x="1331245" y="3719822"/>
              </a:lnTo>
              <a:lnTo>
                <a:pt x="1313105" y="3722348"/>
              </a:lnTo>
              <a:lnTo>
                <a:pt x="1297227" y="3724554"/>
              </a:lnTo>
              <a:lnTo>
                <a:pt x="1283566" y="3726467"/>
              </a:lnTo>
              <a:lnTo>
                <a:pt x="1272143" y="3728124"/>
              </a:lnTo>
              <a:lnTo>
                <a:pt x="1263043" y="3729435"/>
              </a:lnTo>
              <a:lnTo>
                <a:pt x="1256348" y="3730309"/>
              </a:lnTo>
              <a:lnTo>
                <a:pt x="1249063" y="3731143"/>
              </a:lnTo>
              <a:lnTo>
                <a:pt x="1248778" y="3730599"/>
              </a:lnTo>
              <a:lnTo>
                <a:pt x="1298977" y="3722175"/>
              </a:lnTo>
              <a:lnTo>
                <a:pt x="1355321" y="3715503"/>
              </a:lnTo>
              <a:lnTo>
                <a:pt x="1401392" y="3710528"/>
              </a:lnTo>
              <a:lnTo>
                <a:pt x="1454587" y="3705252"/>
              </a:lnTo>
              <a:lnTo>
                <a:pt x="1515646" y="3699918"/>
              </a:lnTo>
              <a:lnTo>
                <a:pt x="1548519" y="3697159"/>
              </a:lnTo>
              <a:lnTo>
                <a:pt x="1582133" y="3694276"/>
              </a:lnTo>
              <a:lnTo>
                <a:pt x="1652563" y="3688048"/>
              </a:lnTo>
              <a:lnTo>
                <a:pt x="1724828" y="3681563"/>
              </a:lnTo>
              <a:lnTo>
                <a:pt x="1797189" y="3674935"/>
              </a:lnTo>
              <a:lnTo>
                <a:pt x="1832878" y="3671647"/>
              </a:lnTo>
              <a:lnTo>
                <a:pt x="1867047" y="3668524"/>
              </a:lnTo>
              <a:lnTo>
                <a:pt x="1899768" y="3665603"/>
              </a:lnTo>
              <a:lnTo>
                <a:pt x="1931415" y="3662822"/>
              </a:lnTo>
              <a:lnTo>
                <a:pt x="1961544" y="3660146"/>
              </a:lnTo>
              <a:lnTo>
                <a:pt x="2015918" y="3654965"/>
              </a:lnTo>
              <a:lnTo>
                <a:pt x="2062889" y="3650062"/>
              </a:lnTo>
              <a:lnTo>
                <a:pt x="2101875" y="3645751"/>
              </a:lnTo>
              <a:lnTo>
                <a:pt x="2144980" y="3640400"/>
              </a:lnTo>
              <a:lnTo>
                <a:pt x="2172933" y="3634053"/>
              </a:lnTo>
              <a:lnTo>
                <a:pt x="2169876" y="3633153"/>
              </a:lnTo>
              <a:lnTo>
                <a:pt x="2128607" y="3631241"/>
              </a:lnTo>
              <a:lnTo>
                <a:pt x="2075912" y="3630580"/>
              </a:lnTo>
              <a:lnTo>
                <a:pt x="2053488" y="3630496"/>
              </a:lnTo>
              <a:lnTo>
                <a:pt x="2028136" y="3630569"/>
              </a:lnTo>
              <a:lnTo>
                <a:pt x="1999591" y="3630840"/>
              </a:lnTo>
              <a:lnTo>
                <a:pt x="1968087" y="3631270"/>
              </a:lnTo>
              <a:lnTo>
                <a:pt x="1934047" y="3631793"/>
              </a:lnTo>
              <a:lnTo>
                <a:pt x="1897894" y="3632344"/>
              </a:lnTo>
              <a:lnTo>
                <a:pt x="1859450" y="3632856"/>
              </a:lnTo>
              <a:lnTo>
                <a:pt x="1818586" y="3633380"/>
              </a:lnTo>
              <a:lnTo>
                <a:pt x="1775800" y="3634029"/>
              </a:lnTo>
              <a:lnTo>
                <a:pt x="1731593" y="3634915"/>
              </a:lnTo>
              <a:lnTo>
                <a:pt x="1685744" y="3636081"/>
              </a:lnTo>
              <a:lnTo>
                <a:pt x="1638106" y="3637462"/>
              </a:lnTo>
              <a:lnTo>
                <a:pt x="1589282" y="3639012"/>
              </a:lnTo>
              <a:lnTo>
                <a:pt x="1539875" y="3640688"/>
              </a:lnTo>
              <a:lnTo>
                <a:pt x="1489787" y="3642501"/>
              </a:lnTo>
              <a:lnTo>
                <a:pt x="1438781" y="3644468"/>
              </a:lnTo>
              <a:lnTo>
                <a:pt x="1387260" y="3646547"/>
              </a:lnTo>
              <a:lnTo>
                <a:pt x="1335626" y="3648699"/>
              </a:lnTo>
              <a:lnTo>
                <a:pt x="1283563" y="3650933"/>
              </a:lnTo>
              <a:lnTo>
                <a:pt x="1230997" y="3653264"/>
              </a:lnTo>
              <a:lnTo>
                <a:pt x="1178694" y="3655659"/>
              </a:lnTo>
              <a:lnTo>
                <a:pt x="1127417" y="3658089"/>
              </a:lnTo>
              <a:lnTo>
                <a:pt x="1077189" y="3660558"/>
              </a:lnTo>
              <a:lnTo>
                <a:pt x="1027664" y="3663079"/>
              </a:lnTo>
              <a:lnTo>
                <a:pt x="979050" y="3665631"/>
              </a:lnTo>
              <a:lnTo>
                <a:pt x="931553" y="3668191"/>
              </a:lnTo>
              <a:lnTo>
                <a:pt x="884995" y="3670763"/>
              </a:lnTo>
              <a:lnTo>
                <a:pt x="839344" y="3673356"/>
              </a:lnTo>
              <a:lnTo>
                <a:pt x="795026" y="3675957"/>
              </a:lnTo>
              <a:lnTo>
                <a:pt x="752467" y="3678552"/>
              </a:lnTo>
              <a:lnTo>
                <a:pt x="711620" y="3681144"/>
              </a:lnTo>
              <a:lnTo>
                <a:pt x="672311" y="3683737"/>
              </a:lnTo>
              <a:lnTo>
                <a:pt x="599249" y="3688902"/>
              </a:lnTo>
              <a:lnTo>
                <a:pt x="534390" y="3694025"/>
              </a:lnTo>
              <a:lnTo>
                <a:pt x="476907" y="3699106"/>
              </a:lnTo>
              <a:lnTo>
                <a:pt x="426367" y="3704137"/>
              </a:lnTo>
              <a:lnTo>
                <a:pt x="382698" y="3709123"/>
              </a:lnTo>
              <a:lnTo>
                <a:pt x="329907" y="3716631"/>
              </a:lnTo>
              <a:lnTo>
                <a:pt x="290419" y="3723254"/>
              </a:lnTo>
              <a:lnTo>
                <a:pt x="251801" y="3731549"/>
              </a:lnTo>
              <a:lnTo>
                <a:pt x="249462" y="3732868"/>
              </a:lnTo>
              <a:lnTo>
                <a:pt x="247124" y="3734187"/>
              </a:lnTo>
              <a:lnTo>
                <a:pt x="249130" y="3734900"/>
              </a:lnTo>
              <a:lnTo>
                <a:pt x="257181" y="3734956"/>
              </a:lnTo>
              <a:lnTo>
                <a:pt x="264186" y="3734825"/>
              </a:lnTo>
              <a:lnTo>
                <a:pt x="273205" y="3734420"/>
              </a:lnTo>
              <a:lnTo>
                <a:pt x="284360" y="3733843"/>
              </a:lnTo>
              <a:lnTo>
                <a:pt x="297772" y="3733200"/>
              </a:lnTo>
              <a:lnTo>
                <a:pt x="313344" y="3732475"/>
              </a:lnTo>
              <a:lnTo>
                <a:pt x="331056" y="3731627"/>
              </a:lnTo>
              <a:lnTo>
                <a:pt x="351140" y="3730720"/>
              </a:lnTo>
              <a:lnTo>
                <a:pt x="398966" y="3728922"/>
              </a:lnTo>
              <a:lnTo>
                <a:pt x="456824" y="3727079"/>
              </a:lnTo>
              <a:lnTo>
                <a:pt x="527240" y="3725371"/>
              </a:lnTo>
              <a:lnTo>
                <a:pt x="567257" y="3724565"/>
              </a:lnTo>
              <a:lnTo>
                <a:pt x="610213" y="3723798"/>
              </a:lnTo>
              <a:lnTo>
                <a:pt x="655918" y="3723084"/>
              </a:lnTo>
              <a:lnTo>
                <a:pt x="704986" y="3722426"/>
              </a:lnTo>
              <a:lnTo>
                <a:pt x="757296" y="3721816"/>
              </a:lnTo>
              <a:lnTo>
                <a:pt x="811559" y="3721254"/>
              </a:lnTo>
              <a:lnTo>
                <a:pt x="866486" y="3720743"/>
              </a:lnTo>
              <a:lnTo>
                <a:pt x="922406" y="3720283"/>
              </a:lnTo>
              <a:lnTo>
                <a:pt x="979783" y="3719875"/>
              </a:lnTo>
              <a:lnTo>
                <a:pt x="1037528" y="3719512"/>
              </a:lnTo>
              <a:lnTo>
                <a:pt x="1094553" y="3719188"/>
              </a:lnTo>
              <a:lnTo>
                <a:pt x="1151307" y="3718869"/>
              </a:lnTo>
              <a:lnTo>
                <a:pt x="1208123" y="3718567"/>
              </a:lnTo>
              <a:lnTo>
                <a:pt x="1263743" y="3718353"/>
              </a:lnTo>
              <a:lnTo>
                <a:pt x="1316910" y="3718292"/>
              </a:lnTo>
              <a:lnTo>
                <a:pt x="1367712" y="3718425"/>
              </a:lnTo>
              <a:lnTo>
                <a:pt x="1416679" y="3718710"/>
              </a:lnTo>
              <a:lnTo>
                <a:pt x="1463213" y="3719087"/>
              </a:lnTo>
              <a:lnTo>
                <a:pt x="1506716" y="3719497"/>
              </a:lnTo>
              <a:lnTo>
                <a:pt x="1547248" y="3719910"/>
              </a:lnTo>
              <a:lnTo>
                <a:pt x="1619818" y="3720896"/>
              </a:lnTo>
              <a:lnTo>
                <a:pt x="1679271" y="3722284"/>
              </a:lnTo>
              <a:lnTo>
                <a:pt x="1725608" y="3724074"/>
              </a:lnTo>
              <a:lnTo>
                <a:pt x="1769043" y="3728340"/>
              </a:lnTo>
              <a:lnTo>
                <a:pt x="1785593" y="3735781"/>
              </a:lnTo>
              <a:lnTo>
                <a:pt x="1780233" y="3740229"/>
              </a:lnTo>
              <a:lnTo>
                <a:pt x="1731769" y="3756709"/>
              </a:lnTo>
              <a:lnTo>
                <a:pt x="1694692" y="3766631"/>
              </a:lnTo>
              <a:lnTo>
                <a:pt x="1648062" y="3778464"/>
              </a:lnTo>
              <a:lnTo>
                <a:pt x="1622016" y="3784950"/>
              </a:lnTo>
              <a:lnTo>
                <a:pt x="1594287" y="3791866"/>
              </a:lnTo>
              <a:lnTo>
                <a:pt x="1533368" y="3806838"/>
              </a:lnTo>
              <a:lnTo>
                <a:pt x="1465837" y="3822461"/>
              </a:lnTo>
              <a:lnTo>
                <a:pt x="1391694" y="3838735"/>
              </a:lnTo>
              <a:lnTo>
                <a:pt x="1352555" y="3847096"/>
              </a:lnTo>
              <a:lnTo>
                <a:pt x="1311885" y="3855687"/>
              </a:lnTo>
              <a:lnTo>
                <a:pt x="1269670" y="3864486"/>
              </a:lnTo>
              <a:lnTo>
                <a:pt x="1226412" y="3873314"/>
              </a:lnTo>
              <a:lnTo>
                <a:pt x="1182615" y="3881987"/>
              </a:lnTo>
              <a:lnTo>
                <a:pt x="1138116" y="3890476"/>
              </a:lnTo>
              <a:lnTo>
                <a:pt x="1092745" y="3898874"/>
              </a:lnTo>
              <a:lnTo>
                <a:pt x="1046997" y="3907175"/>
              </a:lnTo>
              <a:lnTo>
                <a:pt x="1001365" y="3915378"/>
              </a:lnTo>
              <a:lnTo>
                <a:pt x="955576" y="3923552"/>
              </a:lnTo>
              <a:lnTo>
                <a:pt x="909503" y="3931675"/>
              </a:lnTo>
              <a:lnTo>
                <a:pt x="863854" y="3939606"/>
              </a:lnTo>
              <a:lnTo>
                <a:pt x="819339" y="3947204"/>
              </a:lnTo>
              <a:lnTo>
                <a:pt x="775916" y="3954425"/>
              </a:lnTo>
              <a:lnTo>
                <a:pt x="733285" y="3961346"/>
              </a:lnTo>
              <a:lnTo>
                <a:pt x="691761" y="3968010"/>
              </a:lnTo>
              <a:lnTo>
                <a:pt x="651661" y="3974457"/>
              </a:lnTo>
              <a:lnTo>
                <a:pt x="612776" y="3980708"/>
              </a:lnTo>
              <a:lnTo>
                <a:pt x="575036" y="3986738"/>
              </a:lnTo>
              <a:lnTo>
                <a:pt x="538962" y="3992520"/>
              </a:lnTo>
              <a:lnTo>
                <a:pt x="473158" y="4003291"/>
              </a:lnTo>
              <a:lnTo>
                <a:pt x="415366" y="4013019"/>
              </a:lnTo>
              <a:lnTo>
                <a:pt x="368960" y="4021399"/>
              </a:lnTo>
              <a:lnTo>
                <a:pt x="321631" y="4031320"/>
              </a:lnTo>
              <a:lnTo>
                <a:pt x="305832" y="4037353"/>
              </a:lnTo>
              <a:lnTo>
                <a:pt x="308002" y="4038573"/>
              </a:lnTo>
              <a:lnTo>
                <a:pt x="313672" y="4039349"/>
              </a:lnTo>
              <a:lnTo>
                <a:pt x="322859" y="4039692"/>
              </a:lnTo>
              <a:lnTo>
                <a:pt x="336420" y="4039738"/>
              </a:lnTo>
              <a:lnTo>
                <a:pt x="355212" y="4039626"/>
              </a:lnTo>
              <a:lnTo>
                <a:pt x="407541" y="4038999"/>
              </a:lnTo>
              <a:lnTo>
                <a:pt x="481543" y="4037401"/>
              </a:lnTo>
              <a:lnTo>
                <a:pt x="528205" y="4036062"/>
              </a:lnTo>
              <a:lnTo>
                <a:pt x="580991" y="4034388"/>
              </a:lnTo>
              <a:lnTo>
                <a:pt x="639202" y="4032540"/>
              </a:lnTo>
              <a:lnTo>
                <a:pt x="702137" y="4030674"/>
              </a:lnTo>
              <a:lnTo>
                <a:pt x="746801" y="4029424"/>
              </a:lnTo>
              <a:lnTo>
                <a:pt x="793892" y="4028117"/>
              </a:lnTo>
              <a:lnTo>
                <a:pt x="843187" y="4026779"/>
              </a:lnTo>
              <a:lnTo>
                <a:pt x="894461" y="4025436"/>
              </a:lnTo>
              <a:lnTo>
                <a:pt x="947492" y="4024115"/>
              </a:lnTo>
              <a:lnTo>
                <a:pt x="1002056" y="4022842"/>
              </a:lnTo>
              <a:lnTo>
                <a:pt x="1050412" y="4021765"/>
              </a:lnTo>
              <a:lnTo>
                <a:pt x="1100523" y="4020675"/>
              </a:lnTo>
              <a:lnTo>
                <a:pt x="1152041" y="4019595"/>
              </a:lnTo>
              <a:lnTo>
                <a:pt x="1204618" y="4018544"/>
              </a:lnTo>
              <a:lnTo>
                <a:pt x="1257903" y="4017545"/>
              </a:lnTo>
              <a:lnTo>
                <a:pt x="1311549" y="4016619"/>
              </a:lnTo>
              <a:lnTo>
                <a:pt x="1365207" y="4015786"/>
              </a:lnTo>
              <a:lnTo>
                <a:pt x="1412563" y="4015136"/>
              </a:lnTo>
              <a:lnTo>
                <a:pt x="1460739" y="4014546"/>
              </a:lnTo>
              <a:lnTo>
                <a:pt x="1509461" y="4014009"/>
              </a:lnTo>
              <a:lnTo>
                <a:pt x="1558458" y="4013521"/>
              </a:lnTo>
              <a:lnTo>
                <a:pt x="1607456" y="4013076"/>
              </a:lnTo>
              <a:lnTo>
                <a:pt x="1656182" y="4012667"/>
              </a:lnTo>
              <a:lnTo>
                <a:pt x="1704363" y="4012291"/>
              </a:lnTo>
              <a:lnTo>
                <a:pt x="1751726" y="4011940"/>
              </a:lnTo>
              <a:lnTo>
                <a:pt x="1805316" y="4011582"/>
              </a:lnTo>
              <a:lnTo>
                <a:pt x="1858789" y="4011280"/>
              </a:lnTo>
              <a:lnTo>
                <a:pt x="1911877" y="4011027"/>
              </a:lnTo>
              <a:lnTo>
                <a:pt x="1964313" y="4010815"/>
              </a:lnTo>
              <a:lnTo>
                <a:pt x="2015826" y="4010637"/>
              </a:lnTo>
              <a:lnTo>
                <a:pt x="2066150" y="4010485"/>
              </a:lnTo>
              <a:lnTo>
                <a:pt x="2115016" y="4010352"/>
              </a:lnTo>
              <a:lnTo>
                <a:pt x="2170562" y="4010230"/>
              </a:lnTo>
              <a:lnTo>
                <a:pt x="2224898" y="4010157"/>
              </a:lnTo>
              <a:lnTo>
                <a:pt x="2277737" y="4010123"/>
              </a:lnTo>
              <a:lnTo>
                <a:pt x="2328789" y="4010119"/>
              </a:lnTo>
              <a:lnTo>
                <a:pt x="2377767" y="4010135"/>
              </a:lnTo>
              <a:lnTo>
                <a:pt x="2424381" y="4010162"/>
              </a:lnTo>
              <a:lnTo>
                <a:pt x="2477280" y="4010219"/>
              </a:lnTo>
              <a:lnTo>
                <a:pt x="2527180" y="4010313"/>
              </a:lnTo>
              <a:lnTo>
                <a:pt x="2574098" y="4010432"/>
              </a:lnTo>
              <a:lnTo>
                <a:pt x="2618051" y="4010566"/>
              </a:lnTo>
              <a:lnTo>
                <a:pt x="2659054" y="4010704"/>
              </a:lnTo>
              <a:lnTo>
                <a:pt x="2705972" y="4010927"/>
              </a:lnTo>
              <a:lnTo>
                <a:pt x="2748138" y="4011197"/>
              </a:lnTo>
              <a:lnTo>
                <a:pt x="2785931" y="4011424"/>
              </a:lnTo>
              <a:lnTo>
                <a:pt x="2819729" y="4011521"/>
              </a:lnTo>
              <a:lnTo>
                <a:pt x="2849276" y="4011449"/>
              </a:lnTo>
              <a:lnTo>
                <a:pt x="2874490" y="4011261"/>
              </a:lnTo>
              <a:lnTo>
                <a:pt x="2914469" y="4010714"/>
              </a:lnTo>
              <a:lnTo>
                <a:pt x="2956894" y="4009235"/>
              </a:lnTo>
              <a:lnTo>
                <a:pt x="2964123" y="4008727"/>
              </a:lnTo>
              <a:lnTo>
                <a:pt x="2963172" y="4008154"/>
              </a:lnTo>
              <a:lnTo>
                <a:pt x="2924931" y="4006327"/>
              </a:lnTo>
              <a:lnTo>
                <a:pt x="2880934" y="4005544"/>
              </a:lnTo>
              <a:lnTo>
                <a:pt x="2822140" y="4004955"/>
              </a:lnTo>
              <a:lnTo>
                <a:pt x="2774051" y="4004664"/>
              </a:lnTo>
              <a:lnTo>
                <a:pt x="2717977" y="4004443"/>
              </a:lnTo>
              <a:lnTo>
                <a:pt x="2652950" y="4004284"/>
              </a:lnTo>
              <a:lnTo>
                <a:pt x="2578264" y="4004176"/>
              </a:lnTo>
              <a:lnTo>
                <a:pt x="2537005" y="4004140"/>
              </a:lnTo>
              <a:lnTo>
                <a:pt x="2492524" y="4004111"/>
              </a:lnTo>
              <a:lnTo>
                <a:pt x="2444471" y="4004090"/>
              </a:lnTo>
              <a:lnTo>
                <a:pt x="2393169" y="4004078"/>
              </a:lnTo>
              <a:lnTo>
                <a:pt x="2339157" y="4004072"/>
              </a:lnTo>
              <a:lnTo>
                <a:pt x="2282979" y="4004070"/>
              </a:lnTo>
              <a:lnTo>
                <a:pt x="2236368" y="4004071"/>
              </a:lnTo>
              <a:lnTo>
                <a:pt x="2188061" y="4004076"/>
              </a:lnTo>
              <a:lnTo>
                <a:pt x="2138348" y="4004083"/>
              </a:lnTo>
              <a:lnTo>
                <a:pt x="2087521" y="4004092"/>
              </a:lnTo>
              <a:lnTo>
                <a:pt x="2035874" y="4004102"/>
              </a:lnTo>
              <a:lnTo>
                <a:pt x="1983032" y="4004112"/>
              </a:lnTo>
              <a:lnTo>
                <a:pt x="1928799" y="4004125"/>
              </a:lnTo>
              <a:lnTo>
                <a:pt x="1873738" y="4004138"/>
              </a:lnTo>
              <a:lnTo>
                <a:pt x="1818409" y="4004152"/>
              </a:lnTo>
              <a:lnTo>
                <a:pt x="1763373" y="4004165"/>
              </a:lnTo>
              <a:lnTo>
                <a:pt x="1708332" y="4004204"/>
              </a:lnTo>
              <a:lnTo>
                <a:pt x="1652915" y="4004270"/>
              </a:lnTo>
              <a:lnTo>
                <a:pt x="1597564" y="4004323"/>
              </a:lnTo>
              <a:lnTo>
                <a:pt x="1542725" y="4004324"/>
              </a:lnTo>
              <a:lnTo>
                <a:pt x="1488840" y="4004233"/>
              </a:lnTo>
              <a:lnTo>
                <a:pt x="1435601" y="4004034"/>
              </a:lnTo>
              <a:lnTo>
                <a:pt x="1382710" y="4003753"/>
              </a:lnTo>
              <a:lnTo>
                <a:pt x="1330634" y="4003414"/>
              </a:lnTo>
              <a:lnTo>
                <a:pt x="1279838" y="4003046"/>
              </a:lnTo>
              <a:lnTo>
                <a:pt x="1230789" y="4002672"/>
              </a:lnTo>
              <a:lnTo>
                <a:pt x="1171649" y="4002181"/>
              </a:lnTo>
              <a:lnTo>
                <a:pt x="1114596" y="4001646"/>
              </a:lnTo>
              <a:lnTo>
                <a:pt x="1060101" y="4001096"/>
              </a:lnTo>
              <a:lnTo>
                <a:pt x="1008639" y="4000562"/>
              </a:lnTo>
              <a:lnTo>
                <a:pt x="960200" y="4000078"/>
              </a:lnTo>
              <a:lnTo>
                <a:pt x="914579" y="3999620"/>
              </a:lnTo>
              <a:lnTo>
                <a:pt x="871947" y="3999126"/>
              </a:lnTo>
              <a:lnTo>
                <a:pt x="832480" y="3998535"/>
              </a:lnTo>
              <a:lnTo>
                <a:pt x="763248" y="3997088"/>
              </a:lnTo>
              <a:lnTo>
                <a:pt x="706022" y="3995276"/>
              </a:lnTo>
              <a:lnTo>
                <a:pt x="660365" y="3993214"/>
              </a:lnTo>
              <a:lnTo>
                <a:pt x="612703" y="3988356"/>
              </a:lnTo>
              <a:lnTo>
                <a:pt x="583612" y="3976324"/>
              </a:lnTo>
              <a:lnTo>
                <a:pt x="586315" y="3970816"/>
              </a:lnTo>
              <a:lnTo>
                <a:pt x="629858" y="3946244"/>
              </a:lnTo>
              <a:lnTo>
                <a:pt x="677052" y="3929962"/>
              </a:lnTo>
              <a:lnTo>
                <a:pt x="717016" y="3917694"/>
              </a:lnTo>
              <a:lnTo>
                <a:pt x="763632" y="3904225"/>
              </a:lnTo>
              <a:lnTo>
                <a:pt x="814880" y="3890565"/>
              </a:lnTo>
              <a:lnTo>
                <a:pt x="870759" y="3876715"/>
              </a:lnTo>
              <a:lnTo>
                <a:pt x="929105" y="3863138"/>
              </a:lnTo>
              <a:lnTo>
                <a:pt x="989917" y="3849832"/>
              </a:lnTo>
              <a:lnTo>
                <a:pt x="1051036" y="3836946"/>
              </a:lnTo>
              <a:lnTo>
                <a:pt x="1112460" y="3824479"/>
              </a:lnTo>
              <a:lnTo>
                <a:pt x="1141721" y="3818571"/>
              </a:lnTo>
              <a:lnTo>
                <a:pt x="1169842" y="3812914"/>
              </a:lnTo>
              <a:lnTo>
                <a:pt x="1197131" y="3807469"/>
              </a:lnTo>
              <a:lnTo>
                <a:pt x="1223182" y="3802251"/>
              </a:lnTo>
              <a:lnTo>
                <a:pt x="1270486" y="3792502"/>
              </a:lnTo>
              <a:lnTo>
                <a:pt x="1311754" y="3783668"/>
              </a:lnTo>
              <a:lnTo>
                <a:pt x="1358583" y="3772559"/>
              </a:lnTo>
              <a:lnTo>
                <a:pt x="1390947" y="3762413"/>
              </a:lnTo>
              <a:lnTo>
                <a:pt x="1387169" y="3762116"/>
              </a:lnTo>
              <a:lnTo>
                <a:pt x="1382962" y="3762212"/>
              </a:lnTo>
              <a:lnTo>
                <a:pt x="1376186" y="3762851"/>
              </a:lnTo>
              <a:lnTo>
                <a:pt x="1367108" y="3763899"/>
              </a:lnTo>
              <a:lnTo>
                <a:pt x="1355995" y="3765219"/>
              </a:lnTo>
              <a:lnTo>
                <a:pt x="1342726" y="3766768"/>
              </a:lnTo>
              <a:lnTo>
                <a:pt x="1290830" y="3773407"/>
              </a:lnTo>
              <a:lnTo>
                <a:pt x="1247824" y="3779992"/>
              </a:lnTo>
              <a:lnTo>
                <a:pt x="1223905" y="3783759"/>
              </a:lnTo>
              <a:lnTo>
                <a:pt x="1198677" y="3787605"/>
              </a:lnTo>
              <a:lnTo>
                <a:pt x="1143710" y="3795676"/>
              </a:lnTo>
              <a:lnTo>
                <a:pt x="1084385" y="3804014"/>
              </a:lnTo>
              <a:lnTo>
                <a:pt x="1022043" y="3812266"/>
              </a:lnTo>
              <a:lnTo>
                <a:pt x="957382" y="3820361"/>
              </a:lnTo>
              <a:lnTo>
                <a:pt x="891315" y="3828211"/>
              </a:lnTo>
              <a:lnTo>
                <a:pt x="824544" y="3835516"/>
              </a:lnTo>
              <a:lnTo>
                <a:pt x="757715" y="3841932"/>
              </a:lnTo>
              <a:lnTo>
                <a:pt x="691921" y="3847500"/>
              </a:lnTo>
              <a:lnTo>
                <a:pt x="628070" y="3852108"/>
              </a:lnTo>
              <a:lnTo>
                <a:pt x="567365" y="3855859"/>
              </a:lnTo>
              <a:lnTo>
                <a:pt x="511096" y="3858680"/>
              </a:lnTo>
              <a:lnTo>
                <a:pt x="484716" y="3859843"/>
              </a:lnTo>
              <a:lnTo>
                <a:pt x="459912" y="3860988"/>
              </a:lnTo>
              <a:lnTo>
                <a:pt x="436561" y="3862217"/>
              </a:lnTo>
              <a:lnTo>
                <a:pt x="414569" y="3863447"/>
              </a:lnTo>
              <a:lnTo>
                <a:pt x="394279" y="3864512"/>
              </a:lnTo>
              <a:lnTo>
                <a:pt x="376036" y="3865247"/>
              </a:lnTo>
              <a:lnTo>
                <a:pt x="359668" y="3865649"/>
              </a:lnTo>
              <a:lnTo>
                <a:pt x="345080" y="3865791"/>
              </a:lnTo>
              <a:lnTo>
                <a:pt x="332728" y="3865627"/>
              </a:lnTo>
              <a:lnTo>
                <a:pt x="323070" y="3865109"/>
              </a:lnTo>
              <a:lnTo>
                <a:pt x="312193" y="3864160"/>
              </a:lnTo>
              <a:lnTo>
                <a:pt x="307622" y="3862240"/>
              </a:lnTo>
              <a:lnTo>
                <a:pt x="310772" y="3859555"/>
              </a:lnTo>
              <a:lnTo>
                <a:pt x="356583" y="3845712"/>
              </a:lnTo>
              <a:lnTo>
                <a:pt x="394063" y="3838403"/>
              </a:lnTo>
              <a:lnTo>
                <a:pt x="443115" y="3830372"/>
              </a:lnTo>
              <a:lnTo>
                <a:pt x="503739" y="3821620"/>
              </a:lnTo>
              <a:lnTo>
                <a:pt x="577419" y="3812846"/>
              </a:lnTo>
              <a:lnTo>
                <a:pt x="619285" y="3808403"/>
              </a:lnTo>
              <a:lnTo>
                <a:pt x="664153" y="3804049"/>
              </a:lnTo>
              <a:lnTo>
                <a:pt x="711722" y="3799924"/>
              </a:lnTo>
              <a:lnTo>
                <a:pt x="762198" y="3796027"/>
              </a:lnTo>
              <a:lnTo>
                <a:pt x="815644" y="3792297"/>
              </a:lnTo>
              <a:lnTo>
                <a:pt x="871554" y="3788780"/>
              </a:lnTo>
              <a:lnTo>
                <a:pt x="929423" y="3785523"/>
              </a:lnTo>
              <a:lnTo>
                <a:pt x="977433" y="3783114"/>
              </a:lnTo>
              <a:lnTo>
                <a:pt x="1027190" y="3780864"/>
              </a:lnTo>
              <a:lnTo>
                <a:pt x="1078116" y="3778769"/>
              </a:lnTo>
              <a:lnTo>
                <a:pt x="1129629" y="3776825"/>
              </a:lnTo>
              <a:lnTo>
                <a:pt x="1181152" y="3775027"/>
              </a:lnTo>
              <a:lnTo>
                <a:pt x="1233163" y="3773388"/>
              </a:lnTo>
              <a:lnTo>
                <a:pt x="1286048" y="3771909"/>
              </a:lnTo>
              <a:lnTo>
                <a:pt x="1339088" y="3770574"/>
              </a:lnTo>
              <a:lnTo>
                <a:pt x="1391565" y="3769366"/>
              </a:lnTo>
              <a:lnTo>
                <a:pt x="1442759" y="3768267"/>
              </a:lnTo>
              <a:lnTo>
                <a:pt x="1492959" y="3767291"/>
              </a:lnTo>
              <a:lnTo>
                <a:pt x="1542645" y="3766450"/>
              </a:lnTo>
              <a:lnTo>
                <a:pt x="1591383" y="3765723"/>
              </a:lnTo>
              <a:lnTo>
                <a:pt x="1638739" y="3765088"/>
              </a:lnTo>
              <a:lnTo>
                <a:pt x="1684282" y="3764525"/>
              </a:lnTo>
              <a:lnTo>
                <a:pt x="1739030" y="3763943"/>
              </a:lnTo>
              <a:lnTo>
                <a:pt x="1791611" y="3763508"/>
              </a:lnTo>
              <a:lnTo>
                <a:pt x="1841375" y="3763182"/>
              </a:lnTo>
              <a:lnTo>
                <a:pt x="1887670" y="3762928"/>
              </a:lnTo>
              <a:lnTo>
                <a:pt x="1930344" y="3762753"/>
              </a:lnTo>
              <a:lnTo>
                <a:pt x="1969737" y="3762672"/>
              </a:lnTo>
              <a:lnTo>
                <a:pt x="2005938" y="3762656"/>
              </a:lnTo>
              <a:lnTo>
                <a:pt x="2039036" y="3762674"/>
              </a:lnTo>
              <a:lnTo>
                <a:pt x="2068975" y="3762733"/>
              </a:lnTo>
              <a:lnTo>
                <a:pt x="2095736" y="3762843"/>
              </a:lnTo>
              <a:lnTo>
                <a:pt x="2119457" y="3762984"/>
              </a:lnTo>
              <a:lnTo>
                <a:pt x="2140279" y="3763136"/>
              </a:lnTo>
              <a:lnTo>
                <a:pt x="2158268" y="3763188"/>
              </a:lnTo>
              <a:lnTo>
                <a:pt x="2204260" y="3764936"/>
              </a:lnTo>
              <a:lnTo>
                <a:pt x="2205007" y="3766833"/>
              </a:lnTo>
              <a:lnTo>
                <a:pt x="2199520" y="3769492"/>
              </a:lnTo>
              <a:lnTo>
                <a:pt x="2193854" y="3771578"/>
              </a:lnTo>
              <a:lnTo>
                <a:pt x="2185353" y="3773922"/>
              </a:lnTo>
              <a:lnTo>
                <a:pt x="2174423" y="3776636"/>
              </a:lnTo>
              <a:lnTo>
                <a:pt x="2161466" y="3779829"/>
              </a:lnTo>
              <a:lnTo>
                <a:pt x="2146425" y="3783596"/>
              </a:lnTo>
              <a:lnTo>
                <a:pt x="2088837" y="3797250"/>
              </a:lnTo>
              <a:lnTo>
                <a:pt x="2040974" y="3807434"/>
              </a:lnTo>
              <a:lnTo>
                <a:pt x="1986956" y="3818492"/>
              </a:lnTo>
              <a:lnTo>
                <a:pt x="1928318" y="3830250"/>
              </a:lnTo>
              <a:lnTo>
                <a:pt x="1897198" y="3836444"/>
              </a:lnTo>
              <a:lnTo>
                <a:pt x="1865076" y="3842893"/>
              </a:lnTo>
              <a:lnTo>
                <a:pt x="1797749" y="3856578"/>
              </a:lnTo>
              <a:lnTo>
                <a:pt x="1726364" y="3871206"/>
              </a:lnTo>
              <a:lnTo>
                <a:pt x="1651146" y="3886768"/>
              </a:lnTo>
              <a:lnTo>
                <a:pt x="1612071" y="3894871"/>
              </a:lnTo>
              <a:lnTo>
                <a:pt x="1572022" y="3903141"/>
              </a:lnTo>
              <a:lnTo>
                <a:pt x="1530820" y="3911593"/>
              </a:lnTo>
              <a:lnTo>
                <a:pt x="1488525" y="3920237"/>
              </a:lnTo>
              <a:lnTo>
                <a:pt x="1445489" y="3929033"/>
              </a:lnTo>
              <a:lnTo>
                <a:pt x="1402065" y="3937940"/>
              </a:lnTo>
              <a:lnTo>
                <a:pt x="1358040" y="3947007"/>
              </a:lnTo>
              <a:lnTo>
                <a:pt x="1313327" y="3956237"/>
              </a:lnTo>
              <a:lnTo>
                <a:pt x="1268472" y="3965516"/>
              </a:lnTo>
              <a:lnTo>
                <a:pt x="1224020" y="3974734"/>
              </a:lnTo>
              <a:lnTo>
                <a:pt x="1179710" y="3983973"/>
              </a:lnTo>
              <a:lnTo>
                <a:pt x="1135388" y="3993255"/>
              </a:lnTo>
              <a:lnTo>
                <a:pt x="1091753" y="4002377"/>
              </a:lnTo>
              <a:lnTo>
                <a:pt x="1049506" y="4011131"/>
              </a:lnTo>
              <a:lnTo>
                <a:pt x="1008510" y="4019556"/>
              </a:lnTo>
              <a:lnTo>
                <a:pt x="968499" y="4027730"/>
              </a:lnTo>
              <a:lnTo>
                <a:pt x="929980" y="4035512"/>
              </a:lnTo>
              <a:lnTo>
                <a:pt x="858899" y="4049424"/>
              </a:lnTo>
              <a:lnTo>
                <a:pt x="795267" y="4061292"/>
              </a:lnTo>
              <a:lnTo>
                <a:pt x="766692" y="4066634"/>
              </a:lnTo>
              <a:lnTo>
                <a:pt x="740401" y="4071610"/>
              </a:lnTo>
              <a:lnTo>
                <a:pt x="716270" y="4076189"/>
              </a:lnTo>
              <a:lnTo>
                <a:pt x="694300" y="4080378"/>
              </a:lnTo>
              <a:lnTo>
                <a:pt x="674492" y="4084187"/>
              </a:lnTo>
              <a:lnTo>
                <a:pt x="656679" y="4087588"/>
              </a:lnTo>
              <a:lnTo>
                <a:pt x="616872" y="4095596"/>
              </a:lnTo>
              <a:lnTo>
                <a:pt x="598263" y="4100731"/>
              </a:lnTo>
              <a:lnTo>
                <a:pt x="600924" y="4101995"/>
              </a:lnTo>
              <a:lnTo>
                <a:pt x="604419" y="4102724"/>
              </a:lnTo>
              <a:lnTo>
                <a:pt x="610908" y="4103089"/>
              </a:lnTo>
              <a:lnTo>
                <a:pt x="620383" y="4103203"/>
              </a:lnTo>
              <a:lnTo>
                <a:pt x="632835" y="4103180"/>
              </a:lnTo>
              <a:lnTo>
                <a:pt x="647923" y="4102998"/>
              </a:lnTo>
              <a:lnTo>
                <a:pt x="665764" y="4102615"/>
              </a:lnTo>
              <a:lnTo>
                <a:pt x="687039" y="4102108"/>
              </a:lnTo>
              <a:lnTo>
                <a:pt x="712426" y="4101557"/>
              </a:lnTo>
              <a:lnTo>
                <a:pt x="741888" y="4100951"/>
              </a:lnTo>
              <a:lnTo>
                <a:pt x="775136" y="4100258"/>
              </a:lnTo>
              <a:lnTo>
                <a:pt x="812470" y="4099527"/>
              </a:lnTo>
              <a:lnTo>
                <a:pt x="854191" y="4098806"/>
              </a:lnTo>
              <a:lnTo>
                <a:pt x="900432" y="4098090"/>
              </a:lnTo>
              <a:lnTo>
                <a:pt x="951015" y="4097361"/>
              </a:lnTo>
              <a:lnTo>
                <a:pt x="1005772" y="4096642"/>
              </a:lnTo>
              <a:lnTo>
                <a:pt x="1064534" y="4095959"/>
              </a:lnTo>
              <a:lnTo>
                <a:pt x="1114762" y="4095438"/>
              </a:lnTo>
              <a:lnTo>
                <a:pt x="1167950" y="4094933"/>
              </a:lnTo>
              <a:lnTo>
                <a:pt x="1223557" y="4094446"/>
              </a:lnTo>
              <a:lnTo>
                <a:pt x="1281041" y="4093982"/>
              </a:lnTo>
              <a:lnTo>
                <a:pt x="1339861" y="4093547"/>
              </a:lnTo>
              <a:lnTo>
                <a:pt x="1390067" y="4093206"/>
              </a:lnTo>
              <a:lnTo>
                <a:pt x="1441687" y="4092883"/>
              </a:lnTo>
              <a:lnTo>
                <a:pt x="1494484" y="4092577"/>
              </a:lnTo>
              <a:lnTo>
                <a:pt x="1548225" y="4092288"/>
              </a:lnTo>
              <a:lnTo>
                <a:pt x="1602676" y="4092017"/>
              </a:lnTo>
              <a:lnTo>
                <a:pt x="1657601" y="4091763"/>
              </a:lnTo>
              <a:lnTo>
                <a:pt x="1705317" y="4091559"/>
              </a:lnTo>
              <a:lnTo>
                <a:pt x="1753873" y="4091370"/>
              </a:lnTo>
              <a:lnTo>
                <a:pt x="1803031" y="4091193"/>
              </a:lnTo>
              <a:lnTo>
                <a:pt x="1852549" y="4091028"/>
              </a:lnTo>
              <a:lnTo>
                <a:pt x="1902191" y="4090875"/>
              </a:lnTo>
              <a:lnTo>
                <a:pt x="1951715" y="4090731"/>
              </a:lnTo>
              <a:lnTo>
                <a:pt x="2000882" y="4090596"/>
              </a:lnTo>
              <a:lnTo>
                <a:pt x="2050089" y="4090472"/>
              </a:lnTo>
              <a:lnTo>
                <a:pt x="2099679" y="4090360"/>
              </a:lnTo>
              <a:lnTo>
                <a:pt x="2149336" y="4090259"/>
              </a:lnTo>
              <a:lnTo>
                <a:pt x="2198746" y="4090167"/>
              </a:lnTo>
              <a:lnTo>
                <a:pt x="2247594" y="4090084"/>
              </a:lnTo>
              <a:lnTo>
                <a:pt x="2295562" y="4090007"/>
              </a:lnTo>
              <a:lnTo>
                <a:pt x="2342337" y="4089937"/>
              </a:lnTo>
              <a:lnTo>
                <a:pt x="2395753" y="4089864"/>
              </a:lnTo>
              <a:lnTo>
                <a:pt x="2448345" y="4089803"/>
              </a:lnTo>
              <a:lnTo>
                <a:pt x="2499884" y="4089752"/>
              </a:lnTo>
              <a:lnTo>
                <a:pt x="2550142" y="4089710"/>
              </a:lnTo>
              <a:lnTo>
                <a:pt x="2598891" y="4089674"/>
              </a:lnTo>
              <a:lnTo>
                <a:pt x="2645902" y="4089643"/>
              </a:lnTo>
              <a:lnTo>
                <a:pt x="2700285" y="4089614"/>
              </a:lnTo>
              <a:lnTo>
                <a:pt x="2752686" y="4089596"/>
              </a:lnTo>
              <a:lnTo>
                <a:pt x="2802817" y="4089586"/>
              </a:lnTo>
              <a:lnTo>
                <a:pt x="2850392" y="4089582"/>
              </a:lnTo>
              <a:lnTo>
                <a:pt x="2895124" y="4089581"/>
              </a:lnTo>
              <a:lnTo>
                <a:pt x="2947288" y="4089588"/>
              </a:lnTo>
              <a:lnTo>
                <a:pt x="2995454" y="4089603"/>
              </a:lnTo>
              <a:lnTo>
                <a:pt x="3039186" y="4089624"/>
              </a:lnTo>
              <a:lnTo>
                <a:pt x="3078049" y="4089647"/>
              </a:lnTo>
              <a:lnTo>
                <a:pt x="3112080" y="4089635"/>
              </a:lnTo>
              <a:lnTo>
                <a:pt x="3141461" y="4089601"/>
              </a:lnTo>
              <a:lnTo>
                <a:pt x="3165969" y="4089620"/>
              </a:lnTo>
              <a:lnTo>
                <a:pt x="3185381" y="4089765"/>
              </a:lnTo>
              <a:lnTo>
                <a:pt x="3199509" y="4090075"/>
              </a:lnTo>
              <a:lnTo>
                <a:pt x="3208513" y="4090503"/>
              </a:lnTo>
              <a:lnTo>
                <a:pt x="3212697" y="4090998"/>
              </a:lnTo>
              <a:lnTo>
                <a:pt x="3212359" y="4091509"/>
              </a:lnTo>
              <a:lnTo>
                <a:pt x="3165400" y="4093769"/>
              </a:lnTo>
              <a:lnTo>
                <a:pt x="3116499" y="4095547"/>
              </a:lnTo>
              <a:lnTo>
                <a:pt x="3053797" y="4097525"/>
              </a:lnTo>
              <a:lnTo>
                <a:pt x="2979352" y="4099486"/>
              </a:lnTo>
              <a:lnTo>
                <a:pt x="2938395" y="4100461"/>
              </a:lnTo>
              <a:lnTo>
                <a:pt x="2896429" y="4101388"/>
              </a:lnTo>
              <a:lnTo>
                <a:pt x="2853236" y="4102189"/>
              </a:lnTo>
              <a:lnTo>
                <a:pt x="2808395" y="4102906"/>
              </a:lnTo>
              <a:lnTo>
                <a:pt x="2762713" y="4103679"/>
              </a:lnTo>
              <a:lnTo>
                <a:pt x="2716997" y="4104648"/>
              </a:lnTo>
              <a:lnTo>
                <a:pt x="2671200" y="4105848"/>
              </a:lnTo>
              <a:lnTo>
                <a:pt x="2624978" y="4107206"/>
              </a:lnTo>
              <a:lnTo>
                <a:pt x="2578698" y="4108696"/>
              </a:lnTo>
              <a:lnTo>
                <a:pt x="2532726" y="4110294"/>
              </a:lnTo>
              <a:lnTo>
                <a:pt x="2487005" y="4112046"/>
              </a:lnTo>
              <a:lnTo>
                <a:pt x="2441392" y="4113949"/>
              </a:lnTo>
              <a:lnTo>
                <a:pt x="2396121" y="4115898"/>
              </a:lnTo>
              <a:lnTo>
                <a:pt x="2351428" y="4117792"/>
              </a:lnTo>
              <a:lnTo>
                <a:pt x="2307250" y="4119598"/>
              </a:lnTo>
              <a:lnTo>
                <a:pt x="2263502" y="4121374"/>
              </a:lnTo>
              <a:lnTo>
                <a:pt x="2220392" y="4123146"/>
              </a:lnTo>
              <a:lnTo>
                <a:pt x="2178125" y="4124942"/>
              </a:lnTo>
              <a:lnTo>
                <a:pt x="2136733" y="4126797"/>
              </a:lnTo>
              <a:lnTo>
                <a:pt x="2096114" y="4128689"/>
              </a:lnTo>
              <a:lnTo>
                <a:pt x="2056272" y="4130552"/>
              </a:lnTo>
              <a:lnTo>
                <a:pt x="2017211" y="4132322"/>
              </a:lnTo>
              <a:lnTo>
                <a:pt x="1978905" y="4133963"/>
              </a:lnTo>
              <a:lnTo>
                <a:pt x="1941361" y="4135514"/>
              </a:lnTo>
              <a:lnTo>
                <a:pt x="1904633" y="4137030"/>
              </a:lnTo>
              <a:lnTo>
                <a:pt x="1868776" y="4138562"/>
              </a:lnTo>
              <a:lnTo>
                <a:pt x="1833764" y="4140146"/>
              </a:lnTo>
              <a:lnTo>
                <a:pt x="1799581" y="4141745"/>
              </a:lnTo>
              <a:lnTo>
                <a:pt x="1766299" y="4143311"/>
              </a:lnTo>
              <a:lnTo>
                <a:pt x="1733986" y="4144793"/>
              </a:lnTo>
              <a:lnTo>
                <a:pt x="1672183" y="4147530"/>
              </a:lnTo>
              <a:lnTo>
                <a:pt x="1614346" y="4149959"/>
              </a:lnTo>
              <a:lnTo>
                <a:pt x="1560769" y="4152008"/>
              </a:lnTo>
              <a:lnTo>
                <a:pt x="1511273" y="4153714"/>
              </a:lnTo>
              <a:lnTo>
                <a:pt x="1465751" y="4155071"/>
              </a:lnTo>
              <a:lnTo>
                <a:pt x="1424282" y="4156126"/>
              </a:lnTo>
              <a:lnTo>
                <a:pt x="1369838" y="4157202"/>
              </a:lnTo>
              <a:lnTo>
                <a:pt x="1324052" y="4157815"/>
              </a:lnTo>
              <a:lnTo>
                <a:pt x="1276602" y="4158106"/>
              </a:lnTo>
              <a:lnTo>
                <a:pt x="1267134" y="4158110"/>
              </a:lnTo>
              <a:lnTo>
                <a:pt x="1258432" y="4158102"/>
              </a:lnTo>
              <a:lnTo>
                <a:pt x="1222933" y="4157754"/>
              </a:lnTo>
              <a:lnTo>
                <a:pt x="1225189" y="4157664"/>
              </a:lnTo>
              <a:lnTo>
                <a:pt x="1265684" y="4157273"/>
              </a:lnTo>
              <a:lnTo>
                <a:pt x="1310990" y="4157119"/>
              </a:lnTo>
              <a:lnTo>
                <a:pt x="1350993" y="4157035"/>
              </a:lnTo>
              <a:lnTo>
                <a:pt x="1373288" y="4156999"/>
              </a:lnTo>
              <a:lnTo>
                <a:pt x="1397137" y="4156929"/>
              </a:lnTo>
              <a:lnTo>
                <a:pt x="1422629" y="4156838"/>
              </a:lnTo>
              <a:lnTo>
                <a:pt x="1449424" y="4156800"/>
              </a:lnTo>
              <a:lnTo>
                <a:pt x="1477185" y="4156892"/>
              </a:lnTo>
              <a:lnTo>
                <a:pt x="1536521" y="4157431"/>
              </a:lnTo>
              <a:lnTo>
                <a:pt x="1598343" y="4158452"/>
              </a:lnTo>
              <a:lnTo>
                <a:pt x="1660694" y="4160060"/>
              </a:lnTo>
              <a:lnTo>
                <a:pt x="1722121" y="4162200"/>
              </a:lnTo>
              <a:lnTo>
                <a:pt x="1780951" y="4164981"/>
              </a:lnTo>
              <a:lnTo>
                <a:pt x="1835892" y="4168026"/>
              </a:lnTo>
              <a:lnTo>
                <a:pt x="1885088" y="4171021"/>
              </a:lnTo>
              <a:lnTo>
                <a:pt x="1928560" y="4173901"/>
              </a:lnTo>
              <a:lnTo>
                <a:pt x="1947928" y="4175187"/>
              </a:lnTo>
              <a:lnTo>
                <a:pt x="1996544" y="4178800"/>
              </a:lnTo>
              <a:lnTo>
                <a:pt x="2037387" y="4183999"/>
              </a:lnTo>
              <a:lnTo>
                <a:pt x="2045472" y="4188155"/>
              </a:lnTo>
              <a:lnTo>
                <a:pt x="2041508" y="4190085"/>
              </a:lnTo>
              <a:lnTo>
                <a:pt x="2002523" y="4196725"/>
              </a:lnTo>
              <a:lnTo>
                <a:pt x="1959837" y="4199843"/>
              </a:lnTo>
              <a:lnTo>
                <a:pt x="1903780" y="4203290"/>
              </a:lnTo>
              <a:lnTo>
                <a:pt x="1860959" y="4205395"/>
              </a:lnTo>
              <a:lnTo>
                <a:pt x="1814139" y="4207292"/>
              </a:lnTo>
              <a:lnTo>
                <a:pt x="1789475" y="4208300"/>
              </a:lnTo>
              <a:lnTo>
                <a:pt x="1763957" y="4209404"/>
              </a:lnTo>
              <a:lnTo>
                <a:pt x="1737543" y="4210564"/>
              </a:lnTo>
              <a:lnTo>
                <a:pt x="1710411" y="4211730"/>
              </a:lnTo>
              <a:lnTo>
                <a:pt x="1682737" y="4212851"/>
              </a:lnTo>
              <a:lnTo>
                <a:pt x="1654468" y="4213891"/>
              </a:lnTo>
              <a:lnTo>
                <a:pt x="1625544" y="4214884"/>
              </a:lnTo>
              <a:lnTo>
                <a:pt x="1596128" y="4215885"/>
              </a:lnTo>
              <a:lnTo>
                <a:pt x="1566386" y="4216948"/>
              </a:lnTo>
              <a:lnTo>
                <a:pt x="1536317" y="4218108"/>
              </a:lnTo>
              <a:lnTo>
                <a:pt x="1505850" y="4219330"/>
              </a:lnTo>
              <a:lnTo>
                <a:pt x="1475038" y="4220559"/>
              </a:lnTo>
              <a:lnTo>
                <a:pt x="1412483" y="4222878"/>
              </a:lnTo>
              <a:lnTo>
                <a:pt x="1348654" y="4225065"/>
              </a:lnTo>
              <a:lnTo>
                <a:pt x="1284421" y="4226999"/>
              </a:lnTo>
              <a:lnTo>
                <a:pt x="1219785" y="4228682"/>
              </a:lnTo>
              <a:lnTo>
                <a:pt x="1154730" y="4230096"/>
              </a:lnTo>
              <a:lnTo>
                <a:pt x="1089257" y="4231241"/>
              </a:lnTo>
              <a:lnTo>
                <a:pt x="1023429" y="4232154"/>
              </a:lnTo>
              <a:lnTo>
                <a:pt x="957246" y="4232835"/>
              </a:lnTo>
              <a:lnTo>
                <a:pt x="891282" y="4233343"/>
              </a:lnTo>
              <a:lnTo>
                <a:pt x="825536" y="4233677"/>
              </a:lnTo>
              <a:lnTo>
                <a:pt x="760182" y="4233895"/>
              </a:lnTo>
              <a:lnTo>
                <a:pt x="695220" y="4233998"/>
              </a:lnTo>
              <a:lnTo>
                <a:pt x="663061" y="4234024"/>
              </a:lnTo>
              <a:lnTo>
                <a:pt x="631114" y="4234072"/>
              </a:lnTo>
              <a:lnTo>
                <a:pt x="599351" y="4234127"/>
              </a:lnTo>
              <a:lnTo>
                <a:pt x="567863" y="4234119"/>
              </a:lnTo>
              <a:lnTo>
                <a:pt x="536740" y="4233978"/>
              </a:lnTo>
              <a:lnTo>
                <a:pt x="475284" y="4233327"/>
              </a:lnTo>
              <a:lnTo>
                <a:pt x="415783" y="4232185"/>
              </a:lnTo>
              <a:lnTo>
                <a:pt x="359012" y="4230458"/>
              </a:lnTo>
              <a:lnTo>
                <a:pt x="305103" y="4228203"/>
              </a:lnTo>
              <a:lnTo>
                <a:pt x="254249" y="4225421"/>
              </a:lnTo>
              <a:lnTo>
                <a:pt x="207032" y="4222182"/>
              </a:lnTo>
              <a:lnTo>
                <a:pt x="164033" y="4218435"/>
              </a:lnTo>
              <a:lnTo>
                <a:pt x="125455" y="4214547"/>
              </a:lnTo>
              <a:lnTo>
                <a:pt x="76685" y="4209075"/>
              </a:lnTo>
              <a:lnTo>
                <a:pt x="37826" y="4204362"/>
              </a:lnTo>
              <a:lnTo>
                <a:pt x="774" y="4197728"/>
              </a:lnTo>
              <a:lnTo>
                <a:pt x="0" y="4197193"/>
              </a:lnTo>
              <a:lnTo>
                <a:pt x="4335" y="4197601"/>
              </a:lnTo>
              <a:lnTo>
                <a:pt x="13872" y="4198506"/>
              </a:lnTo>
              <a:lnTo>
                <a:pt x="22078" y="4199255"/>
              </a:lnTo>
              <a:lnTo>
                <a:pt x="73277" y="4205254"/>
              </a:lnTo>
              <a:lnTo>
                <a:pt x="129578" y="4213808"/>
              </a:lnTo>
              <a:lnTo>
                <a:pt x="176141" y="4221569"/>
              </a:lnTo>
              <a:lnTo>
                <a:pt x="202207" y="4225955"/>
              </a:lnTo>
              <a:lnTo>
                <a:pt x="260391" y="4235233"/>
              </a:lnTo>
              <a:lnTo>
                <a:pt x="326522" y="4245311"/>
              </a:lnTo>
              <a:lnTo>
                <a:pt x="400438" y="4256225"/>
              </a:lnTo>
              <a:lnTo>
                <a:pt x="440448" y="4262037"/>
              </a:lnTo>
              <a:lnTo>
                <a:pt x="482140" y="4267974"/>
              </a:lnTo>
              <a:lnTo>
                <a:pt x="525172" y="4273929"/>
              </a:lnTo>
              <a:lnTo>
                <a:pt x="569552" y="4279951"/>
              </a:lnTo>
              <a:lnTo>
                <a:pt x="615429" y="4286073"/>
              </a:lnTo>
              <a:lnTo>
                <a:pt x="662674" y="4292158"/>
              </a:lnTo>
              <a:lnTo>
                <a:pt x="711161" y="4298068"/>
              </a:lnTo>
              <a:lnTo>
                <a:pt x="761171" y="4303846"/>
              </a:lnTo>
              <a:lnTo>
                <a:pt x="812667" y="4309538"/>
              </a:lnTo>
              <a:lnTo>
                <a:pt x="865041" y="4315017"/>
              </a:lnTo>
              <a:lnTo>
                <a:pt x="917686" y="4320154"/>
              </a:lnTo>
              <a:lnTo>
                <a:pt x="970835" y="4324941"/>
              </a:lnTo>
              <a:lnTo>
                <a:pt x="1024680" y="4329437"/>
              </a:lnTo>
              <a:lnTo>
                <a:pt x="1078553" y="4333618"/>
              </a:lnTo>
              <a:lnTo>
                <a:pt x="1131786" y="4337456"/>
              </a:lnTo>
              <a:lnTo>
                <a:pt x="1184447" y="4340896"/>
              </a:lnTo>
              <a:lnTo>
                <a:pt x="1236808" y="4343968"/>
              </a:lnTo>
              <a:lnTo>
                <a:pt x="1288515" y="4346776"/>
              </a:lnTo>
              <a:lnTo>
                <a:pt x="1339210" y="4349427"/>
              </a:lnTo>
              <a:lnTo>
                <a:pt x="1388979" y="4351938"/>
              </a:lnTo>
              <a:lnTo>
                <a:pt x="1437953" y="4354255"/>
              </a:lnTo>
              <a:lnTo>
                <a:pt x="1485839" y="4356381"/>
              </a:lnTo>
              <a:lnTo>
                <a:pt x="1532345" y="4358316"/>
              </a:lnTo>
              <a:lnTo>
                <a:pt x="1577488" y="4360088"/>
              </a:lnTo>
              <a:lnTo>
                <a:pt x="1621394" y="4361685"/>
              </a:lnTo>
              <a:lnTo>
                <a:pt x="1663926" y="4363057"/>
              </a:lnTo>
              <a:lnTo>
                <a:pt x="1704952" y="4364154"/>
              </a:lnTo>
              <a:lnTo>
                <a:pt x="1744388" y="4364963"/>
              </a:lnTo>
              <a:lnTo>
                <a:pt x="1818873" y="4365805"/>
              </a:lnTo>
              <a:lnTo>
                <a:pt x="1854161" y="4365853"/>
              </a:lnTo>
              <a:lnTo>
                <a:pt x="1888281" y="4365601"/>
              </a:lnTo>
              <a:lnTo>
                <a:pt x="1952611" y="4364350"/>
              </a:lnTo>
              <a:lnTo>
                <a:pt x="2010846" y="4362758"/>
              </a:lnTo>
              <a:lnTo>
                <a:pt x="2062986" y="4360826"/>
              </a:lnTo>
              <a:lnTo>
                <a:pt x="2108863" y="4358406"/>
              </a:lnTo>
              <a:lnTo>
                <a:pt x="2148475" y="4355498"/>
              </a:lnTo>
              <a:lnTo>
                <a:pt x="2196550" y="4351204"/>
              </a:lnTo>
              <a:lnTo>
                <a:pt x="2239221" y="4346059"/>
              </a:lnTo>
              <a:lnTo>
                <a:pt x="2258678" y="4341236"/>
              </a:lnTo>
              <a:lnTo>
                <a:pt x="2255786" y="4340604"/>
              </a:lnTo>
              <a:lnTo>
                <a:pt x="2252895" y="4339970"/>
              </a:lnTo>
              <a:lnTo>
                <a:pt x="2245174" y="4340028"/>
              </a:lnTo>
              <a:lnTo>
                <a:pt x="2233834" y="4340114"/>
              </a:lnTo>
              <a:lnTo>
                <a:pt x="2224413" y="4340246"/>
              </a:lnTo>
              <a:lnTo>
                <a:pt x="2213375" y="4340486"/>
              </a:lnTo>
              <a:lnTo>
                <a:pt x="2201045" y="4340790"/>
              </a:lnTo>
              <a:lnTo>
                <a:pt x="2187749" y="4341117"/>
              </a:lnTo>
              <a:lnTo>
                <a:pt x="2173467" y="4341470"/>
              </a:lnTo>
              <a:lnTo>
                <a:pt x="2158060" y="4341868"/>
              </a:lnTo>
              <a:lnTo>
                <a:pt x="2141677" y="4342285"/>
              </a:lnTo>
              <a:lnTo>
                <a:pt x="2087611" y="4343508"/>
              </a:lnTo>
              <a:lnTo>
                <a:pt x="2047133" y="4344292"/>
              </a:lnTo>
              <a:lnTo>
                <a:pt x="2002831" y="4344999"/>
              </a:lnTo>
              <a:lnTo>
                <a:pt x="1954851" y="4345628"/>
              </a:lnTo>
              <a:lnTo>
                <a:pt x="1903012" y="4346161"/>
              </a:lnTo>
              <a:lnTo>
                <a:pt x="1848093" y="4346606"/>
              </a:lnTo>
              <a:lnTo>
                <a:pt x="1790559" y="4346961"/>
              </a:lnTo>
              <a:lnTo>
                <a:pt x="1731173" y="4347238"/>
              </a:lnTo>
              <a:lnTo>
                <a:pt x="1701133" y="4347389"/>
              </a:lnTo>
              <a:lnTo>
                <a:pt x="1670747" y="4347545"/>
              </a:lnTo>
              <a:lnTo>
                <a:pt x="1640181" y="4347637"/>
              </a:lnTo>
              <a:lnTo>
                <a:pt x="1609601" y="4347590"/>
              </a:lnTo>
              <a:lnTo>
                <a:pt x="1548175" y="4347113"/>
              </a:lnTo>
              <a:lnTo>
                <a:pt x="1486919" y="4346123"/>
              </a:lnTo>
              <a:lnTo>
                <a:pt x="1425913" y="4344423"/>
              </a:lnTo>
              <a:lnTo>
                <a:pt x="1366710" y="4342375"/>
              </a:lnTo>
              <a:lnTo>
                <a:pt x="1310714" y="4340251"/>
              </a:lnTo>
              <a:lnTo>
                <a:pt x="1258448" y="4338123"/>
              </a:lnTo>
              <a:lnTo>
                <a:pt x="1210829" y="4336149"/>
              </a:lnTo>
              <a:lnTo>
                <a:pt x="1188772" y="4335216"/>
              </a:lnTo>
              <a:lnTo>
                <a:pt x="1168081" y="4334343"/>
              </a:lnTo>
              <a:lnTo>
                <a:pt x="1148752" y="4333572"/>
              </a:lnTo>
              <a:lnTo>
                <a:pt x="1130720" y="4332880"/>
              </a:lnTo>
              <a:lnTo>
                <a:pt x="1114044" y="4332195"/>
              </a:lnTo>
              <a:lnTo>
                <a:pt x="1072091" y="4329673"/>
              </a:lnTo>
              <a:lnTo>
                <a:pt x="1033684" y="4324529"/>
              </a:lnTo>
              <a:lnTo>
                <a:pt x="1032996" y="4323267"/>
              </a:lnTo>
              <a:lnTo>
                <a:pt x="1079688" y="4317460"/>
              </a:lnTo>
              <a:lnTo>
                <a:pt x="1094780" y="4316299"/>
              </a:lnTo>
              <a:lnTo>
                <a:pt x="1112232" y="4314869"/>
              </a:lnTo>
              <a:lnTo>
                <a:pt x="1131962" y="4313250"/>
              </a:lnTo>
              <a:lnTo>
                <a:pt x="1153906" y="4311552"/>
              </a:lnTo>
              <a:lnTo>
                <a:pt x="1204187" y="4308231"/>
              </a:lnTo>
              <a:lnTo>
                <a:pt x="1263075" y="4304905"/>
              </a:lnTo>
              <a:lnTo>
                <a:pt x="1330948" y="4301859"/>
              </a:lnTo>
              <a:lnTo>
                <a:pt x="1407807" y="4299094"/>
              </a:lnTo>
              <a:lnTo>
                <a:pt x="1450035" y="4297847"/>
              </a:lnTo>
              <a:lnTo>
                <a:pt x="1495122" y="4296703"/>
              </a:lnTo>
              <a:lnTo>
                <a:pt x="1542892" y="4295651"/>
              </a:lnTo>
              <a:lnTo>
                <a:pt x="1592896" y="4294688"/>
              </a:lnTo>
              <a:lnTo>
                <a:pt x="1644682" y="4293813"/>
              </a:lnTo>
              <a:lnTo>
                <a:pt x="1698375" y="4293032"/>
              </a:lnTo>
              <a:lnTo>
                <a:pt x="1754133" y="4292343"/>
              </a:lnTo>
              <a:lnTo>
                <a:pt x="1811561" y="4291735"/>
              </a:lnTo>
              <a:lnTo>
                <a:pt x="1870264" y="4291195"/>
              </a:lnTo>
              <a:lnTo>
                <a:pt x="1918312" y="4290814"/>
              </a:lnTo>
              <a:lnTo>
                <a:pt x="1967494" y="4290485"/>
              </a:lnTo>
              <a:lnTo>
                <a:pt x="2017459" y="4290200"/>
              </a:lnTo>
              <a:lnTo>
                <a:pt x="2067859" y="4289950"/>
              </a:lnTo>
              <a:lnTo>
                <a:pt x="2118346" y="4289728"/>
              </a:lnTo>
              <a:lnTo>
                <a:pt x="2169239" y="4289539"/>
              </a:lnTo>
              <a:lnTo>
                <a:pt x="2220770" y="4289387"/>
              </a:lnTo>
              <a:lnTo>
                <a:pt x="2272461" y="4289266"/>
              </a:lnTo>
              <a:lnTo>
                <a:pt x="2323832" y="4289169"/>
              </a:lnTo>
              <a:lnTo>
                <a:pt x="2374404" y="4289087"/>
              </a:lnTo>
              <a:lnTo>
                <a:pt x="2424382" y="4289025"/>
              </a:lnTo>
              <a:lnTo>
                <a:pt x="2474085" y="4288988"/>
              </a:lnTo>
              <a:lnTo>
                <a:pt x="2523206" y="4288971"/>
              </a:lnTo>
              <a:lnTo>
                <a:pt x="2571438" y="4288966"/>
              </a:lnTo>
              <a:lnTo>
                <a:pt x="2618473" y="4288969"/>
              </a:lnTo>
              <a:lnTo>
                <a:pt x="2675630" y="4288987"/>
              </a:lnTo>
              <a:lnTo>
                <a:pt x="2731246" y="4289025"/>
              </a:lnTo>
              <a:lnTo>
                <a:pt x="2785294" y="4289075"/>
              </a:lnTo>
              <a:lnTo>
                <a:pt x="2837748" y="4289130"/>
              </a:lnTo>
              <a:lnTo>
                <a:pt x="2888585" y="4289191"/>
              </a:lnTo>
              <a:lnTo>
                <a:pt x="2937825" y="4289260"/>
              </a:lnTo>
              <a:lnTo>
                <a:pt x="2985505" y="4289333"/>
              </a:lnTo>
              <a:lnTo>
                <a:pt x="3031661" y="4289405"/>
              </a:lnTo>
              <a:lnTo>
                <a:pt x="3076230" y="4289477"/>
              </a:lnTo>
              <a:lnTo>
                <a:pt x="3119217" y="4289550"/>
              </a:lnTo>
              <a:lnTo>
                <a:pt x="3160760" y="4289622"/>
              </a:lnTo>
              <a:lnTo>
                <a:pt x="3200998" y="4289690"/>
              </a:lnTo>
              <a:lnTo>
                <a:pt x="3239870" y="4289793"/>
              </a:lnTo>
              <a:lnTo>
                <a:pt x="3277336" y="4289919"/>
              </a:lnTo>
              <a:lnTo>
                <a:pt x="3313560" y="4289991"/>
              </a:lnTo>
              <a:lnTo>
                <a:pt x="3382810" y="4289741"/>
              </a:lnTo>
              <a:lnTo>
                <a:pt x="3447619" y="4289046"/>
              </a:lnTo>
              <a:lnTo>
                <a:pt x="3507827" y="4287743"/>
              </a:lnTo>
              <a:lnTo>
                <a:pt x="3563434" y="4285833"/>
              </a:lnTo>
              <a:lnTo>
                <a:pt x="3615444" y="4283820"/>
              </a:lnTo>
              <a:lnTo>
                <a:pt x="3663859" y="4281703"/>
              </a:lnTo>
              <a:lnTo>
                <a:pt x="3707463" y="4279715"/>
              </a:lnTo>
              <a:lnTo>
                <a:pt x="3746255" y="4277855"/>
              </a:lnTo>
              <a:lnTo>
                <a:pt x="3794314" y="4275482"/>
              </a:lnTo>
              <a:lnTo>
                <a:pt x="3807718" y="4274801"/>
              </a:lnTo>
              <a:lnTo>
                <a:pt x="3820006" y="4274179"/>
              </a:lnTo>
              <a:lnTo>
                <a:pt x="3831400" y="4273617"/>
              </a:lnTo>
              <a:lnTo>
                <a:pt x="3841772" y="4273115"/>
              </a:lnTo>
              <a:lnTo>
                <a:pt x="3850722" y="4272665"/>
              </a:lnTo>
              <a:lnTo>
                <a:pt x="3857849" y="4272261"/>
              </a:lnTo>
              <a:lnTo>
                <a:pt x="3865959" y="4271753"/>
              </a:lnTo>
              <a:lnTo>
                <a:pt x="3871132" y="4271946"/>
              </a:lnTo>
              <a:lnTo>
                <a:pt x="3830228" y="4266250"/>
              </a:lnTo>
              <a:lnTo>
                <a:pt x="3774432" y="4262854"/>
              </a:lnTo>
              <a:lnTo>
                <a:pt x="3719400" y="4260844"/>
              </a:lnTo>
              <a:lnTo>
                <a:pt x="3650566" y="4258796"/>
              </a:lnTo>
              <a:lnTo>
                <a:pt x="3610681" y="4257718"/>
              </a:lnTo>
              <a:lnTo>
                <a:pt x="3567150" y="4256626"/>
              </a:lnTo>
              <a:lnTo>
                <a:pt x="3520565" y="4255425"/>
              </a:lnTo>
              <a:lnTo>
                <a:pt x="3471519" y="4254018"/>
              </a:lnTo>
              <a:lnTo>
                <a:pt x="3419793" y="4252439"/>
              </a:lnTo>
              <a:lnTo>
                <a:pt x="3365197" y="4250720"/>
              </a:lnTo>
              <a:lnTo>
                <a:pt x="3308366" y="4248758"/>
              </a:lnTo>
              <a:lnTo>
                <a:pt x="3249935" y="4246452"/>
              </a:lnTo>
              <a:lnTo>
                <a:pt x="3201902" y="4244346"/>
              </a:lnTo>
              <a:lnTo>
                <a:pt x="3152470" y="4242046"/>
              </a:lnTo>
              <a:lnTo>
                <a:pt x="3101998" y="4239545"/>
              </a:lnTo>
              <a:lnTo>
                <a:pt x="3050846" y="4236837"/>
              </a:lnTo>
              <a:lnTo>
                <a:pt x="2999371" y="4233917"/>
              </a:lnTo>
              <a:lnTo>
                <a:pt x="2947286" y="4230772"/>
              </a:lnTo>
              <a:lnTo>
                <a:pt x="2894353" y="4227407"/>
              </a:lnTo>
              <a:lnTo>
                <a:pt x="2841002" y="4223840"/>
              </a:lnTo>
              <a:lnTo>
                <a:pt x="2787664" y="4220088"/>
              </a:lnTo>
              <a:lnTo>
                <a:pt x="2734771" y="4216170"/>
              </a:lnTo>
              <a:lnTo>
                <a:pt x="2682008" y="4212016"/>
              </a:lnTo>
              <a:lnTo>
                <a:pt x="2629087" y="4207615"/>
              </a:lnTo>
              <a:lnTo>
                <a:pt x="2576481" y="4203070"/>
              </a:lnTo>
              <a:lnTo>
                <a:pt x="2524661" y="4198488"/>
              </a:lnTo>
              <a:lnTo>
                <a:pt x="2474099" y="4193972"/>
              </a:lnTo>
              <a:lnTo>
                <a:pt x="2424624" y="4189489"/>
              </a:lnTo>
              <a:lnTo>
                <a:pt x="2375921" y="4184968"/>
              </a:lnTo>
              <a:lnTo>
                <a:pt x="2328248" y="4180461"/>
              </a:lnTo>
              <a:lnTo>
                <a:pt x="2281860" y="4176022"/>
              </a:lnTo>
              <a:lnTo>
                <a:pt x="2237013" y="4171704"/>
              </a:lnTo>
              <a:lnTo>
                <a:pt x="2182956" y="4166452"/>
              </a:lnTo>
              <a:lnTo>
                <a:pt x="2130946" y="4161322"/>
              </a:lnTo>
              <a:lnTo>
                <a:pt x="2081266" y="4156348"/>
              </a:lnTo>
              <a:lnTo>
                <a:pt x="2034197" y="4151565"/>
              </a:lnTo>
              <a:lnTo>
                <a:pt x="1989760" y="4146943"/>
              </a:lnTo>
              <a:lnTo>
                <a:pt x="1947825" y="4142477"/>
              </a:lnTo>
              <a:lnTo>
                <a:pt x="1908438" y="4138238"/>
              </a:lnTo>
              <a:lnTo>
                <a:pt x="1871648" y="4134294"/>
              </a:lnTo>
              <a:lnTo>
                <a:pt x="1837500" y="4130660"/>
              </a:lnTo>
              <a:lnTo>
                <a:pt x="1805958" y="4127298"/>
              </a:lnTo>
              <a:lnTo>
                <a:pt x="1776945" y="4124209"/>
              </a:lnTo>
              <a:lnTo>
                <a:pt x="1750383" y="4121394"/>
              </a:lnTo>
              <a:lnTo>
                <a:pt x="1726399" y="4118909"/>
              </a:lnTo>
              <a:lnTo>
                <a:pt x="1704985" y="4116734"/>
              </a:lnTo>
              <a:lnTo>
                <a:pt x="1685863" y="4114759"/>
              </a:lnTo>
              <a:lnTo>
                <a:pt x="1640309" y="4109565"/>
              </a:lnTo>
              <a:lnTo>
                <a:pt x="1606945" y="4101430"/>
              </a:lnTo>
              <a:lnTo>
                <a:pt x="1610850" y="4098738"/>
              </a:lnTo>
              <a:lnTo>
                <a:pt x="1660194" y="4087954"/>
              </a:lnTo>
              <a:lnTo>
                <a:pt x="1701472" y="4083302"/>
              </a:lnTo>
              <a:lnTo>
                <a:pt x="1757659" y="4079063"/>
              </a:lnTo>
              <a:lnTo>
                <a:pt x="1828755" y="4075238"/>
              </a:lnTo>
              <a:lnTo>
                <a:pt x="1870587" y="4073206"/>
              </a:lnTo>
              <a:lnTo>
                <a:pt x="1916660" y="4070983"/>
              </a:lnTo>
              <a:lnTo>
                <a:pt x="1966838" y="4068647"/>
              </a:lnTo>
              <a:lnTo>
                <a:pt x="2021373" y="4066299"/>
              </a:lnTo>
              <a:lnTo>
                <a:pt x="2080516" y="4064043"/>
              </a:lnTo>
              <a:lnTo>
                <a:pt x="2122633" y="4062632"/>
              </a:lnTo>
              <a:lnTo>
                <a:pt x="2166873" y="4061278"/>
              </a:lnTo>
              <a:lnTo>
                <a:pt x="2213124" y="4059949"/>
              </a:lnTo>
              <a:lnTo>
                <a:pt x="2261273" y="4058615"/>
              </a:lnTo>
              <a:lnTo>
                <a:pt x="2311212" y="4057242"/>
              </a:lnTo>
              <a:lnTo>
                <a:pt x="2362827" y="4055798"/>
              </a:lnTo>
              <a:lnTo>
                <a:pt x="2408671" y="4054502"/>
              </a:lnTo>
              <a:lnTo>
                <a:pt x="2456172" y="4053169"/>
              </a:lnTo>
              <a:lnTo>
                <a:pt x="2505074" y="4051806"/>
              </a:lnTo>
              <a:lnTo>
                <a:pt x="2555118" y="4050419"/>
              </a:lnTo>
              <a:lnTo>
                <a:pt x="2606045" y="4049014"/>
              </a:lnTo>
              <a:lnTo>
                <a:pt x="2657596" y="4047597"/>
              </a:lnTo>
              <a:lnTo>
                <a:pt x="2709515" y="4046175"/>
              </a:lnTo>
              <a:lnTo>
                <a:pt x="2755497" y="4044933"/>
              </a:lnTo>
              <a:lnTo>
                <a:pt x="2802305" y="4043691"/>
              </a:lnTo>
              <a:lnTo>
                <a:pt x="2849770" y="4042443"/>
              </a:lnTo>
              <a:lnTo>
                <a:pt x="2897724" y="4041183"/>
              </a:lnTo>
              <a:lnTo>
                <a:pt x="2945996" y="4039903"/>
              </a:lnTo>
              <a:lnTo>
                <a:pt x="2994420" y="4038597"/>
              </a:lnTo>
              <a:lnTo>
                <a:pt x="3042825" y="4037257"/>
              </a:lnTo>
              <a:lnTo>
                <a:pt x="3091044" y="4035878"/>
              </a:lnTo>
              <a:lnTo>
                <a:pt x="3139421" y="4034442"/>
              </a:lnTo>
              <a:lnTo>
                <a:pt x="3188265" y="4032949"/>
              </a:lnTo>
              <a:lnTo>
                <a:pt x="3237352" y="4031415"/>
              </a:lnTo>
              <a:lnTo>
                <a:pt x="3286459" y="4029859"/>
              </a:lnTo>
              <a:lnTo>
                <a:pt x="3335362" y="4028298"/>
              </a:lnTo>
              <a:lnTo>
                <a:pt x="3383839" y="4026748"/>
              </a:lnTo>
              <a:lnTo>
                <a:pt x="3431667" y="4025228"/>
              </a:lnTo>
              <a:lnTo>
                <a:pt x="3478620" y="4023755"/>
              </a:lnTo>
              <a:lnTo>
                <a:pt x="3531603" y="4022120"/>
              </a:lnTo>
              <a:lnTo>
                <a:pt x="3584241" y="4020512"/>
              </a:lnTo>
              <a:lnTo>
                <a:pt x="3636302" y="4018928"/>
              </a:lnTo>
              <a:lnTo>
                <a:pt x="3687554" y="4017366"/>
              </a:lnTo>
              <a:lnTo>
                <a:pt x="3737764" y="4015822"/>
              </a:lnTo>
              <a:lnTo>
                <a:pt x="3786699" y="4014294"/>
              </a:lnTo>
              <a:lnTo>
                <a:pt x="3834128" y="4012779"/>
              </a:lnTo>
              <a:lnTo>
                <a:pt x="3887848" y="4011033"/>
              </a:lnTo>
              <a:lnTo>
                <a:pt x="3940142" y="4009315"/>
              </a:lnTo>
              <a:lnTo>
                <a:pt x="3990808" y="4007618"/>
              </a:lnTo>
              <a:lnTo>
                <a:pt x="4039640" y="4005940"/>
              </a:lnTo>
              <a:lnTo>
                <a:pt x="4086437" y="4004277"/>
              </a:lnTo>
              <a:lnTo>
                <a:pt x="4130994" y="4002623"/>
              </a:lnTo>
              <a:lnTo>
                <a:pt x="4193750" y="4000171"/>
              </a:lnTo>
              <a:lnTo>
                <a:pt x="4251920" y="3997754"/>
              </a:lnTo>
              <a:lnTo>
                <a:pt x="4305517" y="3995362"/>
              </a:lnTo>
              <a:lnTo>
                <a:pt x="4354554" y="3992984"/>
              </a:lnTo>
              <a:lnTo>
                <a:pt x="4398738" y="3990583"/>
              </a:lnTo>
              <a:lnTo>
                <a:pt x="4438161" y="3988177"/>
              </a:lnTo>
              <a:lnTo>
                <a:pt x="4505078" y="3983621"/>
              </a:lnTo>
              <a:lnTo>
                <a:pt x="4556926" y="3979561"/>
              </a:lnTo>
              <a:lnTo>
                <a:pt x="4595115" y="3975989"/>
              </a:lnTo>
              <a:lnTo>
                <a:pt x="4636360" y="3970518"/>
              </a:lnTo>
              <a:lnTo>
                <a:pt x="4643253" y="3969030"/>
              </a:lnTo>
              <a:lnTo>
                <a:pt x="4642839" y="3967946"/>
              </a:lnTo>
              <a:lnTo>
                <a:pt x="4598173" y="3965194"/>
              </a:lnTo>
              <a:lnTo>
                <a:pt x="4547405" y="3964442"/>
              </a:lnTo>
              <a:lnTo>
                <a:pt x="4526106" y="3964443"/>
              </a:lnTo>
              <a:lnTo>
                <a:pt x="4476463" y="3965020"/>
              </a:lnTo>
              <a:lnTo>
                <a:pt x="4418612" y="3965996"/>
              </a:lnTo>
              <a:lnTo>
                <a:pt x="4353854" y="3967160"/>
              </a:lnTo>
              <a:lnTo>
                <a:pt x="4318517" y="3967805"/>
              </a:lnTo>
              <a:lnTo>
                <a:pt x="4280883" y="3968438"/>
              </a:lnTo>
              <a:lnTo>
                <a:pt x="4240867" y="3968987"/>
              </a:lnTo>
              <a:lnTo>
                <a:pt x="4198607" y="3969494"/>
              </a:lnTo>
              <a:lnTo>
                <a:pt x="4154186" y="3970091"/>
              </a:lnTo>
              <a:lnTo>
                <a:pt x="4107689" y="3970908"/>
              </a:lnTo>
              <a:lnTo>
                <a:pt x="4058936" y="3972023"/>
              </a:lnTo>
              <a:lnTo>
                <a:pt x="4007950" y="3973352"/>
              </a:lnTo>
              <a:lnTo>
                <a:pt x="3955117" y="3974785"/>
              </a:lnTo>
              <a:lnTo>
                <a:pt x="3900823" y="3976214"/>
              </a:lnTo>
              <a:lnTo>
                <a:pt x="3856211" y="3977357"/>
              </a:lnTo>
              <a:lnTo>
                <a:pt x="3810395" y="3978540"/>
              </a:lnTo>
              <a:lnTo>
                <a:pt x="3763655" y="3979734"/>
              </a:lnTo>
              <a:lnTo>
                <a:pt x="3716272" y="3980909"/>
              </a:lnTo>
              <a:lnTo>
                <a:pt x="3668527" y="3982035"/>
              </a:lnTo>
              <a:lnTo>
                <a:pt x="3620209" y="3983093"/>
              </a:lnTo>
              <a:lnTo>
                <a:pt x="3571133" y="3984104"/>
              </a:lnTo>
              <a:lnTo>
                <a:pt x="3521612" y="3985095"/>
              </a:lnTo>
              <a:lnTo>
                <a:pt x="3471958" y="3986093"/>
              </a:lnTo>
              <a:lnTo>
                <a:pt x="3422485" y="3987124"/>
              </a:lnTo>
              <a:lnTo>
                <a:pt x="3372905" y="3988180"/>
              </a:lnTo>
              <a:lnTo>
                <a:pt x="3323008" y="3989244"/>
              </a:lnTo>
              <a:lnTo>
                <a:pt x="3273228" y="3990328"/>
              </a:lnTo>
              <a:lnTo>
                <a:pt x="3223995" y="3991443"/>
              </a:lnTo>
              <a:lnTo>
                <a:pt x="3175741" y="3992602"/>
              </a:lnTo>
              <a:lnTo>
                <a:pt x="3128317" y="3993801"/>
              </a:lnTo>
              <a:lnTo>
                <a:pt x="3081436" y="3995035"/>
              </a:lnTo>
              <a:lnTo>
                <a:pt x="3035320" y="3996305"/>
              </a:lnTo>
              <a:lnTo>
                <a:pt x="2990194" y="3997614"/>
              </a:lnTo>
              <a:lnTo>
                <a:pt x="2946279" y="3998963"/>
              </a:lnTo>
              <a:lnTo>
                <a:pt x="2892988" y="4000747"/>
              </a:lnTo>
              <a:lnTo>
                <a:pt x="2841305" y="4002620"/>
              </a:lnTo>
              <a:lnTo>
                <a:pt x="2791389" y="4004499"/>
              </a:lnTo>
              <a:lnTo>
                <a:pt x="2743397" y="4006305"/>
              </a:lnTo>
              <a:lnTo>
                <a:pt x="2697323" y="4008001"/>
              </a:lnTo>
              <a:lnTo>
                <a:pt x="2653097" y="4009636"/>
              </a:lnTo>
              <a:lnTo>
                <a:pt x="2610789" y="4011251"/>
              </a:lnTo>
              <a:lnTo>
                <a:pt x="2570466" y="4012888"/>
              </a:lnTo>
              <a:lnTo>
                <a:pt x="2532211" y="4014543"/>
              </a:lnTo>
              <a:lnTo>
                <a:pt x="2461589" y="4017876"/>
              </a:lnTo>
              <a:lnTo>
                <a:pt x="2397998" y="4021390"/>
              </a:lnTo>
              <a:lnTo>
                <a:pt x="2341437" y="4025084"/>
              </a:lnTo>
              <a:lnTo>
                <a:pt x="2291946" y="4028515"/>
              </a:lnTo>
              <a:lnTo>
                <a:pt x="2249524" y="4031685"/>
              </a:lnTo>
              <a:lnTo>
                <a:pt x="2200627" y="4035993"/>
              </a:lnTo>
              <a:lnTo>
                <a:pt x="2188419" y="4037167"/>
              </a:lnTo>
              <a:lnTo>
                <a:pt x="2178670" y="4037862"/>
              </a:lnTo>
              <a:lnTo>
                <a:pt x="2167436" y="4038367"/>
              </a:lnTo>
              <a:lnTo>
                <a:pt x="2162279" y="4037754"/>
              </a:lnTo>
              <a:lnTo>
                <a:pt x="2200947" y="4025502"/>
              </a:lnTo>
              <a:lnTo>
                <a:pt x="2254308" y="4015422"/>
              </a:lnTo>
              <a:lnTo>
                <a:pt x="2303070" y="4007377"/>
              </a:lnTo>
              <a:lnTo>
                <a:pt x="2363748" y="3999014"/>
              </a:lnTo>
              <a:lnTo>
                <a:pt x="2437369" y="3991060"/>
              </a:lnTo>
              <a:lnTo>
                <a:pt x="2479230" y="3987227"/>
              </a:lnTo>
              <a:lnTo>
                <a:pt x="2524974" y="3983622"/>
              </a:lnTo>
              <a:lnTo>
                <a:pt x="2575038" y="3980250"/>
              </a:lnTo>
              <a:lnTo>
                <a:pt x="2629103" y="3977065"/>
              </a:lnTo>
              <a:lnTo>
                <a:pt x="2686429" y="3974092"/>
              </a:lnTo>
              <a:lnTo>
                <a:pt x="2746276" y="3971355"/>
              </a:lnTo>
              <a:lnTo>
                <a:pt x="2796071" y="3969345"/>
              </a:lnTo>
              <a:lnTo>
                <a:pt x="2847858" y="3967486"/>
              </a:lnTo>
              <a:lnTo>
                <a:pt x="2901306" y="3965770"/>
              </a:lnTo>
              <a:lnTo>
                <a:pt x="2956084" y="3964189"/>
              </a:lnTo>
              <a:lnTo>
                <a:pt x="3011860" y="3962734"/>
              </a:lnTo>
              <a:lnTo>
                <a:pt x="3059433" y="3961626"/>
              </a:lnTo>
              <a:lnTo>
                <a:pt x="3108268" y="3960620"/>
              </a:lnTo>
              <a:lnTo>
                <a:pt x="3157950" y="3959704"/>
              </a:lnTo>
              <a:lnTo>
                <a:pt x="3208063" y="3958870"/>
              </a:lnTo>
              <a:lnTo>
                <a:pt x="3258192" y="3958107"/>
              </a:lnTo>
              <a:lnTo>
                <a:pt x="3307921" y="3957404"/>
              </a:lnTo>
              <a:lnTo>
                <a:pt x="3357663" y="3956773"/>
              </a:lnTo>
              <a:lnTo>
                <a:pt x="3407832" y="3956224"/>
              </a:lnTo>
              <a:lnTo>
                <a:pt x="3458017" y="3955746"/>
              </a:lnTo>
              <a:lnTo>
                <a:pt x="3507806" y="3955327"/>
              </a:lnTo>
              <a:lnTo>
                <a:pt x="3556787" y="3954957"/>
              </a:lnTo>
              <a:lnTo>
                <a:pt x="3604549" y="3954624"/>
              </a:lnTo>
              <a:lnTo>
                <a:pt x="3660700" y="3954289"/>
              </a:lnTo>
              <a:lnTo>
                <a:pt x="3716001" y="3954035"/>
              </a:lnTo>
              <a:lnTo>
                <a:pt x="3769983" y="3953845"/>
              </a:lnTo>
              <a:lnTo>
                <a:pt x="3822174" y="3953703"/>
              </a:lnTo>
              <a:lnTo>
                <a:pt x="3872104" y="3953592"/>
              </a:lnTo>
              <a:lnTo>
                <a:pt x="3931651" y="3953549"/>
              </a:lnTo>
              <a:lnTo>
                <a:pt x="3988332" y="3953604"/>
              </a:lnTo>
              <a:lnTo>
                <a:pt x="4041619" y="3953658"/>
              </a:lnTo>
              <a:lnTo>
                <a:pt x="4090984" y="3953610"/>
              </a:lnTo>
              <a:lnTo>
                <a:pt x="4136234" y="3953464"/>
              </a:lnTo>
              <a:lnTo>
                <a:pt x="4177666" y="3953262"/>
              </a:lnTo>
              <a:lnTo>
                <a:pt x="4249937" y="3952530"/>
              </a:lnTo>
              <a:lnTo>
                <a:pt x="4308225" y="3951251"/>
              </a:lnTo>
              <a:lnTo>
                <a:pt x="4353526" y="3949463"/>
              </a:lnTo>
              <a:lnTo>
                <a:pt x="4399231" y="3945883"/>
              </a:lnTo>
              <a:lnTo>
                <a:pt x="4421316" y="3938636"/>
              </a:lnTo>
              <a:lnTo>
                <a:pt x="4417043" y="3935738"/>
              </a:lnTo>
              <a:lnTo>
                <a:pt x="4366993" y="3924642"/>
              </a:lnTo>
              <a:lnTo>
                <a:pt x="4326115" y="3920034"/>
              </a:lnTo>
              <a:lnTo>
                <a:pt x="4272639" y="3915805"/>
              </a:lnTo>
              <a:lnTo>
                <a:pt x="4206563" y="3911956"/>
              </a:lnTo>
              <a:lnTo>
                <a:pt x="4168407" y="3910220"/>
              </a:lnTo>
              <a:lnTo>
                <a:pt x="4126649" y="3908662"/>
              </a:lnTo>
              <a:lnTo>
                <a:pt x="4081415" y="3907255"/>
              </a:lnTo>
              <a:lnTo>
                <a:pt x="4032895" y="3905922"/>
              </a:lnTo>
              <a:lnTo>
                <a:pt x="3981275" y="3904584"/>
              </a:lnTo>
              <a:lnTo>
                <a:pt x="3937425" y="3903487"/>
              </a:lnTo>
              <a:lnTo>
                <a:pt x="3891201" y="3902391"/>
              </a:lnTo>
              <a:lnTo>
                <a:pt x="3843129" y="3901315"/>
              </a:lnTo>
              <a:lnTo>
                <a:pt x="3793735" y="3900276"/>
              </a:lnTo>
              <a:lnTo>
                <a:pt x="3743547" y="3899292"/>
              </a:lnTo>
              <a:lnTo>
                <a:pt x="3692259" y="3898410"/>
              </a:lnTo>
              <a:lnTo>
                <a:pt x="3639519" y="3897621"/>
              </a:lnTo>
              <a:lnTo>
                <a:pt x="3585787" y="3896850"/>
              </a:lnTo>
              <a:lnTo>
                <a:pt x="3531519" y="3896024"/>
              </a:lnTo>
              <a:lnTo>
                <a:pt x="3477175" y="3895070"/>
              </a:lnTo>
              <a:lnTo>
                <a:pt x="3422496" y="3893954"/>
              </a:lnTo>
              <a:lnTo>
                <a:pt x="3367179" y="3892726"/>
              </a:lnTo>
              <a:lnTo>
                <a:pt x="3311608" y="3891435"/>
              </a:lnTo>
              <a:lnTo>
                <a:pt x="3256168" y="3890130"/>
              </a:lnTo>
              <a:lnTo>
                <a:pt x="3201242" y="3888861"/>
              </a:lnTo>
              <a:lnTo>
                <a:pt x="3146488" y="3887610"/>
              </a:lnTo>
              <a:lnTo>
                <a:pt x="3091649" y="3886345"/>
              </a:lnTo>
              <a:lnTo>
                <a:pt x="3037241" y="3885091"/>
              </a:lnTo>
              <a:lnTo>
                <a:pt x="2983780" y="3883872"/>
              </a:lnTo>
              <a:lnTo>
                <a:pt x="2931782" y="3882713"/>
              </a:lnTo>
              <a:lnTo>
                <a:pt x="2881072" y="3881607"/>
              </a:lnTo>
              <a:lnTo>
                <a:pt x="2831308" y="3880540"/>
              </a:lnTo>
              <a:lnTo>
                <a:pt x="2782750" y="3879518"/>
              </a:lnTo>
              <a:lnTo>
                <a:pt x="2735659" y="3878549"/>
              </a:lnTo>
              <a:lnTo>
                <a:pt x="2690294" y="3877642"/>
              </a:lnTo>
              <a:lnTo>
                <a:pt x="2635789" y="3876557"/>
              </a:lnTo>
              <a:lnTo>
                <a:pt x="2583577" y="3875535"/>
              </a:lnTo>
              <a:lnTo>
                <a:pt x="2534060" y="3874649"/>
              </a:lnTo>
              <a:lnTo>
                <a:pt x="2487638" y="3873971"/>
              </a:lnTo>
              <a:lnTo>
                <a:pt x="2444352" y="3873545"/>
              </a:lnTo>
              <a:lnTo>
                <a:pt x="2404011" y="3873324"/>
              </a:lnTo>
              <a:lnTo>
                <a:pt x="2332366" y="3873244"/>
              </a:lnTo>
              <a:lnTo>
                <a:pt x="2301302" y="3873296"/>
              </a:lnTo>
              <a:lnTo>
                <a:pt x="2248260" y="3873699"/>
              </a:lnTo>
              <a:lnTo>
                <a:pt x="2205142" y="3874724"/>
              </a:lnTo>
              <a:lnTo>
                <a:pt x="2159527" y="3877252"/>
              </a:lnTo>
              <a:lnTo>
                <a:pt x="2138070" y="3880992"/>
              </a:lnTo>
              <a:lnTo>
                <a:pt x="2137941" y="3882183"/>
              </a:lnTo>
              <a:lnTo>
                <a:pt x="2185389" y="3885826"/>
              </a:lnTo>
              <a:lnTo>
                <a:pt x="2224552" y="3887057"/>
              </a:lnTo>
              <a:lnTo>
                <a:pt x="2277283" y="3888070"/>
              </a:lnTo>
              <a:lnTo>
                <a:pt x="2345479" y="3888891"/>
              </a:lnTo>
              <a:lnTo>
                <a:pt x="2386431" y="3889232"/>
              </a:lnTo>
              <a:lnTo>
                <a:pt x="2431671" y="3889525"/>
              </a:lnTo>
              <a:lnTo>
                <a:pt x="2481197" y="3889778"/>
              </a:lnTo>
              <a:lnTo>
                <a:pt x="2535004" y="3890000"/>
              </a:lnTo>
              <a:lnTo>
                <a:pt x="2581346" y="3890153"/>
              </a:lnTo>
              <a:lnTo>
                <a:pt x="2630642" y="3890280"/>
              </a:lnTo>
              <a:lnTo>
                <a:pt x="2682573" y="3890388"/>
              </a:lnTo>
              <a:lnTo>
                <a:pt x="2736819" y="3890479"/>
              </a:lnTo>
              <a:lnTo>
                <a:pt x="2793062" y="3890558"/>
              </a:lnTo>
              <a:lnTo>
                <a:pt x="2841758" y="3890613"/>
              </a:lnTo>
              <a:lnTo>
                <a:pt x="2892369" y="3890656"/>
              </a:lnTo>
              <a:lnTo>
                <a:pt x="2944514" y="3890689"/>
              </a:lnTo>
              <a:lnTo>
                <a:pt x="2997812" y="3890713"/>
              </a:lnTo>
              <a:lnTo>
                <a:pt x="3051884" y="3890732"/>
              </a:lnTo>
              <a:lnTo>
                <a:pt x="3106349" y="3890746"/>
              </a:lnTo>
              <a:lnTo>
                <a:pt x="3153779" y="3890754"/>
              </a:lnTo>
              <a:lnTo>
                <a:pt x="3202314" y="3890757"/>
              </a:lnTo>
              <a:lnTo>
                <a:pt x="3251550" y="3890754"/>
              </a:lnTo>
              <a:lnTo>
                <a:pt x="3301087" y="3890748"/>
              </a:lnTo>
              <a:lnTo>
                <a:pt x="3350522" y="3890740"/>
              </a:lnTo>
              <a:lnTo>
                <a:pt x="3399453" y="3890729"/>
              </a:lnTo>
              <a:lnTo>
                <a:pt x="3447477" y="3890718"/>
              </a:lnTo>
              <a:lnTo>
                <a:pt x="3502893" y="3890702"/>
              </a:lnTo>
              <a:lnTo>
                <a:pt x="3558194" y="3890682"/>
              </a:lnTo>
              <a:lnTo>
                <a:pt x="3612991" y="3890659"/>
              </a:lnTo>
              <a:lnTo>
                <a:pt x="3666895" y="3890635"/>
              </a:lnTo>
              <a:lnTo>
                <a:pt x="3719517" y="3890609"/>
              </a:lnTo>
              <a:lnTo>
                <a:pt x="3770468" y="3890585"/>
              </a:lnTo>
              <a:lnTo>
                <a:pt x="3829834" y="3890554"/>
              </a:lnTo>
              <a:lnTo>
                <a:pt x="3887661" y="3890521"/>
              </a:lnTo>
              <a:lnTo>
                <a:pt x="3943488" y="3890488"/>
              </a:lnTo>
              <a:lnTo>
                <a:pt x="3996858" y="3890455"/>
              </a:lnTo>
              <a:lnTo>
                <a:pt x="4047310" y="3890423"/>
              </a:lnTo>
              <a:lnTo>
                <a:pt x="4106400" y="3890422"/>
              </a:lnTo>
              <a:lnTo>
                <a:pt x="4161461" y="3890447"/>
              </a:lnTo>
              <a:lnTo>
                <a:pt x="4212339" y="3890422"/>
              </a:lnTo>
              <a:lnTo>
                <a:pt x="4258877" y="3890274"/>
              </a:lnTo>
              <a:lnTo>
                <a:pt x="4300929" y="3890001"/>
              </a:lnTo>
              <a:lnTo>
                <a:pt x="4372170" y="3889157"/>
              </a:lnTo>
              <a:lnTo>
                <a:pt x="4427465" y="3887769"/>
              </a:lnTo>
              <a:lnTo>
                <a:pt x="4466814" y="3885836"/>
              </a:lnTo>
              <a:lnTo>
                <a:pt x="4505930" y="3881032"/>
              </a:lnTo>
              <a:lnTo>
                <a:pt x="4505857" y="3878800"/>
              </a:lnTo>
              <a:lnTo>
                <a:pt x="4468294" y="3869459"/>
              </a:lnTo>
              <a:lnTo>
                <a:pt x="4415985" y="3864236"/>
              </a:lnTo>
              <a:lnTo>
                <a:pt x="4370633" y="3861231"/>
              </a:lnTo>
              <a:lnTo>
                <a:pt x="4316203" y="3858614"/>
              </a:lnTo>
              <a:lnTo>
                <a:pt x="4251742" y="3856237"/>
              </a:lnTo>
              <a:lnTo>
                <a:pt x="4178669" y="3854662"/>
              </a:lnTo>
              <a:lnTo>
                <a:pt x="4139330" y="3854436"/>
              </a:lnTo>
              <a:lnTo>
                <a:pt x="4097986" y="3854521"/>
              </a:lnTo>
              <a:lnTo>
                <a:pt x="4054812" y="3854876"/>
              </a:lnTo>
              <a:lnTo>
                <a:pt x="4009982" y="3855457"/>
              </a:lnTo>
              <a:lnTo>
                <a:pt x="3963183" y="3856246"/>
              </a:lnTo>
              <a:lnTo>
                <a:pt x="3914442" y="3857269"/>
              </a:lnTo>
              <a:lnTo>
                <a:pt x="3864444" y="3858549"/>
              </a:lnTo>
              <a:lnTo>
                <a:pt x="3813876" y="3860110"/>
              </a:lnTo>
              <a:lnTo>
                <a:pt x="3762857" y="3861931"/>
              </a:lnTo>
              <a:lnTo>
                <a:pt x="3711042" y="3864008"/>
              </a:lnTo>
              <a:lnTo>
                <a:pt x="3658421" y="3866394"/>
              </a:lnTo>
              <a:lnTo>
                <a:pt x="3604982" y="3869142"/>
              </a:lnTo>
              <a:lnTo>
                <a:pt x="3550485" y="3872308"/>
              </a:lnTo>
              <a:lnTo>
                <a:pt x="3495014" y="3875850"/>
              </a:lnTo>
              <a:lnTo>
                <a:pt x="3439048" y="3879674"/>
              </a:lnTo>
              <a:lnTo>
                <a:pt x="3383065" y="3883688"/>
              </a:lnTo>
              <a:lnTo>
                <a:pt x="3326976" y="3887875"/>
              </a:lnTo>
              <a:lnTo>
                <a:pt x="3270598" y="3892281"/>
              </a:lnTo>
              <a:lnTo>
                <a:pt x="3214269" y="3896908"/>
              </a:lnTo>
              <a:lnTo>
                <a:pt x="3158326" y="3901758"/>
              </a:lnTo>
              <a:lnTo>
                <a:pt x="3102683" y="3906844"/>
              </a:lnTo>
              <a:lnTo>
                <a:pt x="3047217" y="3912161"/>
              </a:lnTo>
              <a:lnTo>
                <a:pt x="2992216" y="3917682"/>
              </a:lnTo>
              <a:lnTo>
                <a:pt x="2937965" y="3923379"/>
              </a:lnTo>
              <a:lnTo>
                <a:pt x="2884254" y="3929303"/>
              </a:lnTo>
              <a:lnTo>
                <a:pt x="2831027" y="3935450"/>
              </a:lnTo>
              <a:lnTo>
                <a:pt x="2778797" y="3941706"/>
              </a:lnTo>
              <a:lnTo>
                <a:pt x="2728081" y="3947959"/>
              </a:lnTo>
              <a:lnTo>
                <a:pt x="2678693" y="3954257"/>
              </a:lnTo>
              <a:lnTo>
                <a:pt x="2630466" y="3960635"/>
              </a:lnTo>
              <a:lnTo>
                <a:pt x="2583943" y="3966955"/>
              </a:lnTo>
              <a:lnTo>
                <a:pt x="2539665" y="3973081"/>
              </a:lnTo>
              <a:lnTo>
                <a:pt x="2497606" y="3979014"/>
              </a:lnTo>
              <a:lnTo>
                <a:pt x="2457533" y="3984815"/>
              </a:lnTo>
              <a:lnTo>
                <a:pt x="2419682" y="3990435"/>
              </a:lnTo>
              <a:lnTo>
                <a:pt x="2351335" y="4000970"/>
              </a:lnTo>
              <a:lnTo>
                <a:pt x="2292565" y="4010620"/>
              </a:lnTo>
              <a:lnTo>
                <a:pt x="2243831" y="4019450"/>
              </a:lnTo>
              <a:lnTo>
                <a:pt x="2205135" y="4027461"/>
              </a:lnTo>
              <a:lnTo>
                <a:pt x="2163720" y="4040096"/>
              </a:lnTo>
              <a:lnTo>
                <a:pt x="2161500" y="4042583"/>
              </a:lnTo>
              <a:lnTo>
                <a:pt x="2162548" y="4044758"/>
              </a:lnTo>
              <a:lnTo>
                <a:pt x="2204312" y="4051530"/>
              </a:lnTo>
              <a:lnTo>
                <a:pt x="2250733" y="4054364"/>
              </a:lnTo>
              <a:lnTo>
                <a:pt x="2318525" y="4056583"/>
              </a:lnTo>
              <a:lnTo>
                <a:pt x="2360358" y="4057337"/>
              </a:lnTo>
              <a:lnTo>
                <a:pt x="2407687" y="4058188"/>
              </a:lnTo>
              <a:lnTo>
                <a:pt x="2460827" y="4059451"/>
              </a:lnTo>
              <a:lnTo>
                <a:pt x="2507611" y="4060768"/>
              </a:lnTo>
              <a:lnTo>
                <a:pt x="2558087" y="4062242"/>
              </a:lnTo>
              <a:lnTo>
                <a:pt x="2612194" y="4063933"/>
              </a:lnTo>
              <a:lnTo>
                <a:pt x="2669875" y="4065902"/>
              </a:lnTo>
              <a:lnTo>
                <a:pt x="2731071" y="4068209"/>
              </a:lnTo>
              <a:lnTo>
                <a:pt x="2777002" y="4070069"/>
              </a:lnTo>
              <a:lnTo>
                <a:pt x="2824842" y="4072080"/>
              </a:lnTo>
              <a:lnTo>
                <a:pt x="2874520" y="4074243"/>
              </a:lnTo>
              <a:lnTo>
                <a:pt x="2925963" y="4076559"/>
              </a:lnTo>
              <a:lnTo>
                <a:pt x="2979099" y="4079026"/>
              </a:lnTo>
              <a:lnTo>
                <a:pt x="3033857" y="4081646"/>
              </a:lnTo>
              <a:lnTo>
                <a:pt x="3090164" y="4084418"/>
              </a:lnTo>
              <a:lnTo>
                <a:pt x="3135164" y="4086703"/>
              </a:lnTo>
              <a:lnTo>
                <a:pt x="3181347" y="4089118"/>
              </a:lnTo>
              <a:lnTo>
                <a:pt x="3228618" y="4091644"/>
              </a:lnTo>
              <a:lnTo>
                <a:pt x="3276885" y="4094261"/>
              </a:lnTo>
              <a:lnTo>
                <a:pt x="3326054" y="4096952"/>
              </a:lnTo>
              <a:lnTo>
                <a:pt x="3376031" y="4099697"/>
              </a:lnTo>
              <a:lnTo>
                <a:pt x="3426724" y="4102479"/>
              </a:lnTo>
              <a:lnTo>
                <a:pt x="3478039" y="4105279"/>
              </a:lnTo>
              <a:lnTo>
                <a:pt x="3529883" y="4108077"/>
              </a:lnTo>
              <a:lnTo>
                <a:pt x="3577167" y="4110588"/>
              </a:lnTo>
              <a:lnTo>
                <a:pt x="3625223" y="4113103"/>
              </a:lnTo>
              <a:lnTo>
                <a:pt x="3673970" y="4115632"/>
              </a:lnTo>
              <a:lnTo>
                <a:pt x="3723324" y="4118186"/>
              </a:lnTo>
              <a:lnTo>
                <a:pt x="3773202" y="4120778"/>
              </a:lnTo>
              <a:lnTo>
                <a:pt x="3823521" y="4123417"/>
              </a:lnTo>
              <a:lnTo>
                <a:pt x="3874199" y="4126116"/>
              </a:lnTo>
              <a:lnTo>
                <a:pt x="3925151" y="4128885"/>
              </a:lnTo>
              <a:lnTo>
                <a:pt x="3976295" y="4131735"/>
              </a:lnTo>
              <a:lnTo>
                <a:pt x="4027549" y="4134679"/>
              </a:lnTo>
              <a:lnTo>
                <a:pt x="4079168" y="4137725"/>
              </a:lnTo>
              <a:lnTo>
                <a:pt x="4131382" y="4140866"/>
              </a:lnTo>
              <a:lnTo>
                <a:pt x="4184065" y="4144090"/>
              </a:lnTo>
              <a:lnTo>
                <a:pt x="4237092" y="4147386"/>
              </a:lnTo>
              <a:lnTo>
                <a:pt x="4290339" y="4150739"/>
              </a:lnTo>
              <a:lnTo>
                <a:pt x="4343680" y="4154139"/>
              </a:lnTo>
              <a:lnTo>
                <a:pt x="4396990" y="4157573"/>
              </a:lnTo>
              <a:lnTo>
                <a:pt x="4450145" y="4161027"/>
              </a:lnTo>
              <a:lnTo>
                <a:pt x="4503019" y="4164491"/>
              </a:lnTo>
              <a:lnTo>
                <a:pt x="4555488" y="4167951"/>
              </a:lnTo>
              <a:lnTo>
                <a:pt x="4607820" y="4171421"/>
              </a:lnTo>
              <a:lnTo>
                <a:pt x="4660295" y="4174924"/>
              </a:lnTo>
              <a:lnTo>
                <a:pt x="4712803" y="4178455"/>
              </a:lnTo>
              <a:lnTo>
                <a:pt x="4765233" y="4182012"/>
              </a:lnTo>
              <a:lnTo>
                <a:pt x="4817477" y="4185593"/>
              </a:lnTo>
              <a:lnTo>
                <a:pt x="4869422" y="4189195"/>
              </a:lnTo>
              <a:lnTo>
                <a:pt x="4920960" y="4192816"/>
              </a:lnTo>
              <a:lnTo>
                <a:pt x="4971979" y="4196452"/>
              </a:lnTo>
              <a:lnTo>
                <a:pt x="5022371" y="4200101"/>
              </a:lnTo>
              <a:lnTo>
                <a:pt x="5072024" y="4203761"/>
              </a:lnTo>
              <a:lnTo>
                <a:pt x="5126617" y="4207882"/>
              </a:lnTo>
              <a:lnTo>
                <a:pt x="5180874" y="4212083"/>
              </a:lnTo>
              <a:lnTo>
                <a:pt x="5234665" y="4216334"/>
              </a:lnTo>
              <a:lnTo>
                <a:pt x="5287862" y="4220605"/>
              </a:lnTo>
              <a:lnTo>
                <a:pt x="5340336" y="4224868"/>
              </a:lnTo>
              <a:lnTo>
                <a:pt x="5391958" y="4229091"/>
              </a:lnTo>
              <a:lnTo>
                <a:pt x="5442601" y="4233246"/>
              </a:lnTo>
              <a:lnTo>
                <a:pt x="5492135" y="4237304"/>
              </a:lnTo>
              <a:lnTo>
                <a:pt x="5540431" y="4241233"/>
              </a:lnTo>
              <a:lnTo>
                <a:pt x="5593493" y="4245546"/>
              </a:lnTo>
              <a:lnTo>
                <a:pt x="5645445" y="4249798"/>
              </a:lnTo>
              <a:lnTo>
                <a:pt x="5696210" y="4253974"/>
              </a:lnTo>
              <a:lnTo>
                <a:pt x="5745709" y="4258058"/>
              </a:lnTo>
              <a:lnTo>
                <a:pt x="5793861" y="4262035"/>
              </a:lnTo>
              <a:lnTo>
                <a:pt x="5840589" y="4265889"/>
              </a:lnTo>
              <a:lnTo>
                <a:pt x="5885814" y="4269605"/>
              </a:lnTo>
              <a:lnTo>
                <a:pt x="5929456" y="4273167"/>
              </a:lnTo>
              <a:lnTo>
                <a:pt x="5985292" y="4277691"/>
              </a:lnTo>
              <a:lnTo>
                <a:pt x="6038581" y="4281986"/>
              </a:lnTo>
              <a:lnTo>
                <a:pt x="6089290" y="4286054"/>
              </a:lnTo>
              <a:lnTo>
                <a:pt x="6137388" y="4289895"/>
              </a:lnTo>
              <a:lnTo>
                <a:pt x="6182843" y="4293511"/>
              </a:lnTo>
              <a:lnTo>
                <a:pt x="6225622" y="4296901"/>
              </a:lnTo>
              <a:lnTo>
                <a:pt x="6284481" y="4301569"/>
              </a:lnTo>
              <a:lnTo>
                <a:pt x="6337183" y="4305731"/>
              </a:lnTo>
              <a:lnTo>
                <a:pt x="6384357" y="4309378"/>
              </a:lnTo>
              <a:lnTo>
                <a:pt x="6426631" y="4312501"/>
              </a:lnTo>
              <a:lnTo>
                <a:pt x="6495293" y="4317194"/>
              </a:lnTo>
              <a:lnTo>
                <a:pt x="6545890" y="4319763"/>
              </a:lnTo>
              <a:lnTo>
                <a:pt x="6565577" y="4320197"/>
              </a:lnTo>
              <a:lnTo>
                <a:pt x="6581126" y="4320070"/>
              </a:lnTo>
              <a:lnTo>
                <a:pt x="6593180" y="4319444"/>
              </a:lnTo>
              <a:lnTo>
                <a:pt x="6602380" y="4318380"/>
              </a:lnTo>
              <a:lnTo>
                <a:pt x="6613028" y="4316698"/>
              </a:lnTo>
              <a:lnTo>
                <a:pt x="6614583" y="4313748"/>
              </a:lnTo>
              <a:lnTo>
                <a:pt x="6609777" y="4309670"/>
              </a:lnTo>
              <a:lnTo>
                <a:pt x="6573542" y="4293917"/>
              </a:lnTo>
              <a:lnTo>
                <a:pt x="6518960" y="4280295"/>
              </a:lnTo>
              <a:lnTo>
                <a:pt x="6469913" y="4271116"/>
              </a:lnTo>
              <a:lnTo>
                <a:pt x="6410806" y="4261993"/>
              </a:lnTo>
              <a:lnTo>
                <a:pt x="6342703" y="4253711"/>
              </a:lnTo>
              <a:lnTo>
                <a:pt x="6265604" y="4246271"/>
              </a:lnTo>
              <a:lnTo>
                <a:pt x="6224487" y="4242936"/>
              </a:lnTo>
              <a:lnTo>
                <a:pt x="6181532" y="4239884"/>
              </a:lnTo>
              <a:lnTo>
                <a:pt x="6136652" y="4237092"/>
              </a:lnTo>
              <a:lnTo>
                <a:pt x="6090487" y="4234550"/>
              </a:lnTo>
              <a:lnTo>
                <a:pt x="6043675" y="4232246"/>
              </a:lnTo>
              <a:lnTo>
                <a:pt x="5995996" y="4230196"/>
              </a:lnTo>
              <a:lnTo>
                <a:pt x="5947237" y="4228400"/>
              </a:lnTo>
              <a:lnTo>
                <a:pt x="5898057" y="4226822"/>
              </a:lnTo>
              <a:lnTo>
                <a:pt x="5849114" y="4225425"/>
              </a:lnTo>
              <a:lnTo>
                <a:pt x="5800390" y="4224224"/>
              </a:lnTo>
              <a:lnTo>
                <a:pt x="5751599" y="4223231"/>
              </a:lnTo>
              <a:lnTo>
                <a:pt x="5702992" y="4222403"/>
              </a:lnTo>
              <a:lnTo>
                <a:pt x="5654820" y="4221698"/>
              </a:lnTo>
              <a:lnTo>
                <a:pt x="5607006" y="4221126"/>
              </a:lnTo>
              <a:lnTo>
                <a:pt x="5559466" y="4220704"/>
              </a:lnTo>
              <a:lnTo>
                <a:pt x="5512432" y="4220392"/>
              </a:lnTo>
              <a:lnTo>
                <a:pt x="5466135" y="4220151"/>
              </a:lnTo>
              <a:lnTo>
                <a:pt x="5420562" y="4219953"/>
              </a:lnTo>
              <a:lnTo>
                <a:pt x="5375613" y="4219825"/>
              </a:lnTo>
              <a:lnTo>
                <a:pt x="5331397" y="4219812"/>
              </a:lnTo>
              <a:lnTo>
                <a:pt x="5288021" y="4219959"/>
              </a:lnTo>
              <a:lnTo>
                <a:pt x="5245414" y="4220311"/>
              </a:lnTo>
              <a:lnTo>
                <a:pt x="5203552" y="4220831"/>
              </a:lnTo>
              <a:lnTo>
                <a:pt x="5162614" y="4221450"/>
              </a:lnTo>
              <a:lnTo>
                <a:pt x="5122779" y="4222095"/>
              </a:lnTo>
              <a:lnTo>
                <a:pt x="5084024" y="4222738"/>
              </a:lnTo>
              <a:lnTo>
                <a:pt x="5009644" y="4224173"/>
              </a:lnTo>
              <a:lnTo>
                <a:pt x="4940082" y="4226003"/>
              </a:lnTo>
              <a:lnTo>
                <a:pt x="4875339" y="4228228"/>
              </a:lnTo>
              <a:lnTo>
                <a:pt x="4815191" y="4230866"/>
              </a:lnTo>
              <a:lnTo>
                <a:pt x="4759638" y="4233917"/>
              </a:lnTo>
              <a:lnTo>
                <a:pt x="4709154" y="4237321"/>
              </a:lnTo>
              <a:lnTo>
                <a:pt x="4663739" y="4241078"/>
              </a:lnTo>
              <a:lnTo>
                <a:pt x="4623023" y="4245134"/>
              </a:lnTo>
              <a:lnTo>
                <a:pt x="4570880" y="4251581"/>
              </a:lnTo>
              <a:lnTo>
                <a:pt x="4530213" y="4257312"/>
              </a:lnTo>
              <a:lnTo>
                <a:pt x="4492034" y="4264992"/>
              </a:lnTo>
              <a:lnTo>
                <a:pt x="4476614" y="4270568"/>
              </a:lnTo>
              <a:lnTo>
                <a:pt x="4479507" y="4271156"/>
              </a:lnTo>
              <a:lnTo>
                <a:pt x="4482399" y="4271745"/>
              </a:lnTo>
              <a:lnTo>
                <a:pt x="4489276" y="4271475"/>
              </a:lnTo>
              <a:lnTo>
                <a:pt x="4503441" y="4270180"/>
              </a:lnTo>
              <a:lnTo>
                <a:pt x="4515030" y="4268970"/>
              </a:lnTo>
              <a:lnTo>
                <a:pt x="4528809" y="4267358"/>
              </a:lnTo>
              <a:lnTo>
                <a:pt x="4545168" y="4265459"/>
              </a:lnTo>
              <a:lnTo>
                <a:pt x="4586570" y="4261158"/>
              </a:lnTo>
              <a:lnTo>
                <a:pt x="4639236" y="4256067"/>
              </a:lnTo>
              <a:lnTo>
                <a:pt x="4706505" y="4250127"/>
              </a:lnTo>
              <a:lnTo>
                <a:pt x="4745478" y="4246798"/>
              </a:lnTo>
              <a:lnTo>
                <a:pt x="4788377" y="4243339"/>
              </a:lnTo>
              <a:lnTo>
                <a:pt x="4835642" y="4239855"/>
              </a:lnTo>
              <a:lnTo>
                <a:pt x="4876856" y="4237023"/>
              </a:lnTo>
              <a:lnTo>
                <a:pt x="4920957" y="4234105"/>
              </a:lnTo>
              <a:lnTo>
                <a:pt x="4967666" y="4231173"/>
              </a:lnTo>
              <a:lnTo>
                <a:pt x="5016703" y="4228296"/>
              </a:lnTo>
              <a:lnTo>
                <a:pt x="5067789" y="4225544"/>
              </a:lnTo>
              <a:lnTo>
                <a:pt x="5111885" y="4223336"/>
              </a:lnTo>
              <a:lnTo>
                <a:pt x="5157498" y="4221167"/>
              </a:lnTo>
              <a:lnTo>
                <a:pt x="5204663" y="4219052"/>
              </a:lnTo>
              <a:lnTo>
                <a:pt x="5253416" y="4217007"/>
              </a:lnTo>
              <a:lnTo>
                <a:pt x="5303790" y="4215048"/>
              </a:lnTo>
              <a:lnTo>
                <a:pt x="5355822" y="4213190"/>
              </a:lnTo>
              <a:lnTo>
                <a:pt x="5401883" y="4211705"/>
              </a:lnTo>
              <a:lnTo>
                <a:pt x="5449332" y="4210320"/>
              </a:lnTo>
              <a:lnTo>
                <a:pt x="5498021" y="4209007"/>
              </a:lnTo>
              <a:lnTo>
                <a:pt x="5547805" y="4207739"/>
              </a:lnTo>
              <a:lnTo>
                <a:pt x="5598535" y="4206486"/>
              </a:lnTo>
              <a:lnTo>
                <a:pt x="5650066" y="4205222"/>
              </a:lnTo>
              <a:lnTo>
                <a:pt x="5702251" y="4203917"/>
              </a:lnTo>
              <a:lnTo>
                <a:pt x="5748676" y="4202760"/>
              </a:lnTo>
              <a:lnTo>
                <a:pt x="5796028" y="4201617"/>
              </a:lnTo>
              <a:lnTo>
                <a:pt x="5844142" y="4200478"/>
              </a:lnTo>
              <a:lnTo>
                <a:pt x="5892850" y="4199333"/>
              </a:lnTo>
              <a:lnTo>
                <a:pt x="5941987" y="4198175"/>
              </a:lnTo>
              <a:lnTo>
                <a:pt x="5991386" y="4196992"/>
              </a:lnTo>
              <a:lnTo>
                <a:pt x="6040879" y="4195777"/>
              </a:lnTo>
              <a:lnTo>
                <a:pt x="6090301" y="4194520"/>
              </a:lnTo>
              <a:lnTo>
                <a:pt x="6140013" y="4193207"/>
              </a:lnTo>
              <a:lnTo>
                <a:pt x="6190330" y="4191841"/>
              </a:lnTo>
              <a:lnTo>
                <a:pt x="6241012" y="4190437"/>
              </a:lnTo>
              <a:lnTo>
                <a:pt x="6291821" y="4189012"/>
              </a:lnTo>
              <a:lnTo>
                <a:pt x="6342517" y="4187581"/>
              </a:lnTo>
              <a:lnTo>
                <a:pt x="6392862" y="4186161"/>
              </a:lnTo>
              <a:lnTo>
                <a:pt x="6442616" y="4184769"/>
              </a:lnTo>
              <a:lnTo>
                <a:pt x="6491542" y="4183419"/>
              </a:lnTo>
              <a:lnTo>
                <a:pt x="6546890" y="4181935"/>
              </a:lnTo>
              <a:lnTo>
                <a:pt x="6602047" y="4180497"/>
              </a:lnTo>
              <a:lnTo>
                <a:pt x="6656734" y="4179085"/>
              </a:lnTo>
              <a:lnTo>
                <a:pt x="6710672" y="4177683"/>
              </a:lnTo>
              <a:lnTo>
                <a:pt x="6763583" y="4176272"/>
              </a:lnTo>
              <a:lnTo>
                <a:pt x="6815186" y="4174835"/>
              </a:lnTo>
              <a:lnTo>
                <a:pt x="6865204" y="4173353"/>
              </a:lnTo>
              <a:lnTo>
                <a:pt x="6921915" y="4171567"/>
              </a:lnTo>
              <a:lnTo>
                <a:pt x="6977236" y="4169744"/>
              </a:lnTo>
              <a:lnTo>
                <a:pt x="7030904" y="4167892"/>
              </a:lnTo>
              <a:lnTo>
                <a:pt x="7082658" y="4166023"/>
              </a:lnTo>
              <a:lnTo>
                <a:pt x="7109000" y="4165026"/>
              </a:lnTo>
            </a:path>
            <a:path w="7109459" h="4366260">
              <a:moveTo>
                <a:pt x="7109000" y="4061252"/>
              </a:moveTo>
              <a:lnTo>
                <a:pt x="7050065" y="4059541"/>
              </a:lnTo>
              <a:lnTo>
                <a:pt x="7000369" y="4058290"/>
              </a:lnTo>
              <a:lnTo>
                <a:pt x="6950180" y="4057272"/>
              </a:lnTo>
              <a:lnTo>
                <a:pt x="6899595" y="4056418"/>
              </a:lnTo>
              <a:lnTo>
                <a:pt x="6848483" y="4055715"/>
              </a:lnTo>
              <a:lnTo>
                <a:pt x="6796724" y="4055329"/>
              </a:lnTo>
              <a:lnTo>
                <a:pt x="6744195" y="4055425"/>
              </a:lnTo>
              <a:lnTo>
                <a:pt x="6690709" y="4056091"/>
              </a:lnTo>
              <a:lnTo>
                <a:pt x="6636383" y="4057226"/>
              </a:lnTo>
              <a:lnTo>
                <a:pt x="6581552" y="4058704"/>
              </a:lnTo>
              <a:lnTo>
                <a:pt x="6526552" y="4060404"/>
              </a:lnTo>
              <a:lnTo>
                <a:pt x="6471452" y="4062312"/>
              </a:lnTo>
              <a:lnTo>
                <a:pt x="6416080" y="4064489"/>
              </a:lnTo>
              <a:lnTo>
                <a:pt x="6360411" y="4066914"/>
              </a:lnTo>
              <a:lnTo>
                <a:pt x="6304422" y="4069570"/>
              </a:lnTo>
              <a:lnTo>
                <a:pt x="6248132" y="4072509"/>
              </a:lnTo>
              <a:lnTo>
                <a:pt x="6191545" y="4075723"/>
              </a:lnTo>
              <a:lnTo>
                <a:pt x="6134614" y="4079095"/>
              </a:lnTo>
              <a:lnTo>
                <a:pt x="6077290" y="4082511"/>
              </a:lnTo>
              <a:lnTo>
                <a:pt x="6030976" y="4085253"/>
              </a:lnTo>
              <a:lnTo>
                <a:pt x="5984258" y="4088045"/>
              </a:lnTo>
              <a:lnTo>
                <a:pt x="5937380" y="4090891"/>
              </a:lnTo>
              <a:lnTo>
                <a:pt x="5890588" y="4093795"/>
              </a:lnTo>
              <a:lnTo>
                <a:pt x="5844129" y="4096760"/>
              </a:lnTo>
              <a:lnTo>
                <a:pt x="5797775" y="4099841"/>
              </a:lnTo>
              <a:lnTo>
                <a:pt x="5751364" y="4103035"/>
              </a:lnTo>
              <a:lnTo>
                <a:pt x="5705234" y="4106261"/>
              </a:lnTo>
              <a:lnTo>
                <a:pt x="5659724" y="4109437"/>
              </a:lnTo>
              <a:lnTo>
                <a:pt x="5615174" y="4112481"/>
              </a:lnTo>
              <a:lnTo>
                <a:pt x="5560594" y="4116102"/>
              </a:lnTo>
              <a:lnTo>
                <a:pt x="5507022" y="4119599"/>
              </a:lnTo>
              <a:lnTo>
                <a:pt x="5454871" y="4122983"/>
              </a:lnTo>
              <a:lnTo>
                <a:pt x="5404554" y="4126265"/>
              </a:lnTo>
              <a:lnTo>
                <a:pt x="5355879" y="4129475"/>
              </a:lnTo>
              <a:lnTo>
                <a:pt x="5308727" y="4132598"/>
              </a:lnTo>
              <a:lnTo>
                <a:pt x="5263619" y="4135578"/>
              </a:lnTo>
              <a:lnTo>
                <a:pt x="5221078" y="4138357"/>
              </a:lnTo>
              <a:lnTo>
                <a:pt x="5181098" y="4140929"/>
              </a:lnTo>
              <a:lnTo>
                <a:pt x="5108316" y="4145530"/>
              </a:lnTo>
              <a:lnTo>
                <a:pt x="5046299" y="4149364"/>
              </a:lnTo>
              <a:lnTo>
                <a:pt x="4995046" y="4152432"/>
              </a:lnTo>
              <a:lnTo>
                <a:pt x="4953013" y="4154855"/>
              </a:lnTo>
              <a:lnTo>
                <a:pt x="4906882" y="4157347"/>
              </a:lnTo>
              <a:lnTo>
                <a:pt x="4886209" y="4158406"/>
              </a:lnTo>
              <a:lnTo>
                <a:pt x="4878973" y="4158773"/>
              </a:lnTo>
              <a:lnTo>
                <a:pt x="4873835" y="4159074"/>
              </a:lnTo>
              <a:lnTo>
                <a:pt x="4868392" y="4159443"/>
              </a:lnTo>
              <a:lnTo>
                <a:pt x="4867811" y="4159785"/>
              </a:lnTo>
              <a:lnTo>
                <a:pt x="4874230" y="4159560"/>
              </a:lnTo>
              <a:lnTo>
                <a:pt x="4912349" y="4157723"/>
              </a:lnTo>
              <a:lnTo>
                <a:pt x="4946976" y="4155857"/>
              </a:lnTo>
              <a:lnTo>
                <a:pt x="4968572" y="4154701"/>
              </a:lnTo>
              <a:lnTo>
                <a:pt x="4993645" y="4153417"/>
              </a:lnTo>
              <a:lnTo>
                <a:pt x="5022103" y="4151959"/>
              </a:lnTo>
              <a:lnTo>
                <a:pt x="5053769" y="4150334"/>
              </a:lnTo>
              <a:lnTo>
                <a:pt x="5088984" y="4148644"/>
              </a:lnTo>
              <a:lnTo>
                <a:pt x="5128092" y="4146989"/>
              </a:lnTo>
              <a:lnTo>
                <a:pt x="5171304" y="4145361"/>
              </a:lnTo>
              <a:lnTo>
                <a:pt x="5218398" y="4143719"/>
              </a:lnTo>
              <a:lnTo>
                <a:pt x="5269062" y="4142112"/>
              </a:lnTo>
              <a:lnTo>
                <a:pt x="5322987" y="4140592"/>
              </a:lnTo>
              <a:lnTo>
                <a:pt x="5368883" y="4139439"/>
              </a:lnTo>
              <a:lnTo>
                <a:pt x="5417390" y="4138325"/>
              </a:lnTo>
              <a:lnTo>
                <a:pt x="5467821" y="4137258"/>
              </a:lnTo>
              <a:lnTo>
                <a:pt x="5519487" y="4136246"/>
              </a:lnTo>
              <a:lnTo>
                <a:pt x="5571700" y="4135297"/>
              </a:lnTo>
              <a:lnTo>
                <a:pt x="5624992" y="4134414"/>
              </a:lnTo>
              <a:lnTo>
                <a:pt x="5679821" y="4133590"/>
              </a:lnTo>
              <a:lnTo>
                <a:pt x="5735391" y="4132823"/>
              </a:lnTo>
              <a:lnTo>
                <a:pt x="5790904" y="4132112"/>
              </a:lnTo>
              <a:lnTo>
                <a:pt x="5845563" y="4131455"/>
              </a:lnTo>
              <a:lnTo>
                <a:pt x="5899769" y="4130883"/>
              </a:lnTo>
              <a:lnTo>
                <a:pt x="5954052" y="4130395"/>
              </a:lnTo>
              <a:lnTo>
                <a:pt x="6007814" y="4129948"/>
              </a:lnTo>
              <a:lnTo>
                <a:pt x="6060455" y="4129496"/>
              </a:lnTo>
              <a:lnTo>
                <a:pt x="6111377" y="4128992"/>
              </a:lnTo>
              <a:lnTo>
                <a:pt x="6160870" y="4128452"/>
              </a:lnTo>
              <a:lnTo>
                <a:pt x="6209335" y="4127905"/>
              </a:lnTo>
              <a:lnTo>
                <a:pt x="6256333" y="4127331"/>
              </a:lnTo>
              <a:lnTo>
                <a:pt x="6301429" y="4126708"/>
              </a:lnTo>
              <a:lnTo>
                <a:pt x="6344185" y="4126017"/>
              </a:lnTo>
              <a:lnTo>
                <a:pt x="6394469" y="4125063"/>
              </a:lnTo>
              <a:lnTo>
                <a:pt x="6441610" y="4124028"/>
              </a:lnTo>
              <a:lnTo>
                <a:pt x="6485435" y="4122900"/>
              </a:lnTo>
              <a:lnTo>
                <a:pt x="6525775" y="4121671"/>
              </a:lnTo>
              <a:lnTo>
                <a:pt x="6595631" y="4118901"/>
              </a:lnTo>
              <a:lnTo>
                <a:pt x="6652508" y="4115760"/>
              </a:lnTo>
              <a:lnTo>
                <a:pt x="6696905" y="4112260"/>
              </a:lnTo>
              <a:lnTo>
                <a:pt x="6743405" y="4106446"/>
              </a:lnTo>
              <a:lnTo>
                <a:pt x="6777310" y="4093787"/>
              </a:lnTo>
              <a:lnTo>
                <a:pt x="6774451" y="4090944"/>
              </a:lnTo>
              <a:lnTo>
                <a:pt x="6730624" y="4079766"/>
              </a:lnTo>
              <a:lnTo>
                <a:pt x="6687904" y="4075835"/>
              </a:lnTo>
              <a:lnTo>
                <a:pt x="6631855" y="4073010"/>
              </a:lnTo>
              <a:lnTo>
                <a:pt x="6586826" y="4071664"/>
              </a:lnTo>
              <a:lnTo>
                <a:pt x="6536087" y="4070681"/>
              </a:lnTo>
              <a:lnTo>
                <a:pt x="6480180" y="4070006"/>
              </a:lnTo>
              <a:lnTo>
                <a:pt x="6418654" y="4069585"/>
              </a:lnTo>
              <a:lnTo>
                <a:pt x="6351416" y="4069361"/>
              </a:lnTo>
              <a:lnTo>
                <a:pt x="6277939" y="4069293"/>
              </a:lnTo>
              <a:lnTo>
                <a:pt x="6238382" y="4069221"/>
              </a:lnTo>
              <a:lnTo>
                <a:pt x="6197015" y="4069130"/>
              </a:lnTo>
              <a:lnTo>
                <a:pt x="6154276" y="4069160"/>
              </a:lnTo>
              <a:lnTo>
                <a:pt x="6110603" y="4069452"/>
              </a:lnTo>
              <a:lnTo>
                <a:pt x="6066081" y="4070084"/>
              </a:lnTo>
              <a:lnTo>
                <a:pt x="6020487" y="4070967"/>
              </a:lnTo>
              <a:lnTo>
                <a:pt x="5973798" y="4071992"/>
              </a:lnTo>
              <a:lnTo>
                <a:pt x="5925989" y="4073049"/>
              </a:lnTo>
              <a:lnTo>
                <a:pt x="5876841" y="4074154"/>
              </a:lnTo>
              <a:lnTo>
                <a:pt x="5826438" y="4075349"/>
              </a:lnTo>
              <a:lnTo>
                <a:pt x="5775213" y="4076570"/>
              </a:lnTo>
              <a:lnTo>
                <a:pt x="5723600" y="4077755"/>
              </a:lnTo>
              <a:lnTo>
                <a:pt x="5671377" y="4078908"/>
              </a:lnTo>
              <a:lnTo>
                <a:pt x="5618426" y="4080055"/>
              </a:lnTo>
              <a:lnTo>
                <a:pt x="5565335" y="4081167"/>
              </a:lnTo>
              <a:lnTo>
                <a:pt x="5512693" y="4082215"/>
              </a:lnTo>
              <a:lnTo>
                <a:pt x="5460352" y="4083196"/>
              </a:lnTo>
              <a:lnTo>
                <a:pt x="5408101" y="4084124"/>
              </a:lnTo>
              <a:lnTo>
                <a:pt x="5356429" y="4084992"/>
              </a:lnTo>
              <a:lnTo>
                <a:pt x="5305827" y="4085793"/>
              </a:lnTo>
              <a:lnTo>
                <a:pt x="5256197" y="4086521"/>
              </a:lnTo>
              <a:lnTo>
                <a:pt x="5207354" y="4087182"/>
              </a:lnTo>
              <a:lnTo>
                <a:pt x="5159655" y="4087781"/>
              </a:lnTo>
              <a:lnTo>
                <a:pt x="5113458" y="4088322"/>
              </a:lnTo>
              <a:lnTo>
                <a:pt x="5068555" y="4088800"/>
              </a:lnTo>
              <a:lnTo>
                <a:pt x="5024857" y="4089216"/>
              </a:lnTo>
              <a:lnTo>
                <a:pt x="4982897" y="4089578"/>
              </a:lnTo>
              <a:lnTo>
                <a:pt x="4943211" y="4089897"/>
              </a:lnTo>
              <a:lnTo>
                <a:pt x="4870455" y="4090391"/>
              </a:lnTo>
              <a:lnTo>
                <a:pt x="4806484" y="4090727"/>
              </a:lnTo>
              <a:lnTo>
                <a:pt x="4751892" y="4090937"/>
              </a:lnTo>
              <a:lnTo>
                <a:pt x="4706519" y="4091044"/>
              </a:lnTo>
              <a:lnTo>
                <a:pt x="4687225" y="4091184"/>
              </a:lnTo>
              <a:lnTo>
                <a:pt x="4670188" y="4091379"/>
              </a:lnTo>
              <a:lnTo>
                <a:pt x="4655574" y="4091408"/>
              </a:lnTo>
              <a:lnTo>
                <a:pt x="4643550" y="4091049"/>
              </a:lnTo>
              <a:lnTo>
                <a:pt x="4629318" y="4090215"/>
              </a:lnTo>
              <a:lnTo>
                <a:pt x="4622697" y="4088525"/>
              </a:lnTo>
              <a:lnTo>
                <a:pt x="4621129" y="4086039"/>
              </a:lnTo>
              <a:lnTo>
                <a:pt x="4619560" y="4083553"/>
              </a:lnTo>
              <a:lnTo>
                <a:pt x="4623977" y="4079831"/>
              </a:lnTo>
              <a:lnTo>
                <a:pt x="4666700" y="4067134"/>
              </a:lnTo>
              <a:lnTo>
                <a:pt x="4719638" y="4056891"/>
              </a:lnTo>
              <a:lnTo>
                <a:pt x="4766944" y="4049207"/>
              </a:lnTo>
              <a:lnTo>
                <a:pt x="4824846" y="4040459"/>
              </a:lnTo>
              <a:lnTo>
                <a:pt x="4893078" y="4031029"/>
              </a:lnTo>
              <a:lnTo>
                <a:pt x="4931160" y="4026195"/>
              </a:lnTo>
              <a:lnTo>
                <a:pt x="4971884" y="4021249"/>
              </a:lnTo>
              <a:lnTo>
                <a:pt x="5015076" y="4016168"/>
              </a:lnTo>
              <a:lnTo>
                <a:pt x="5060557" y="4010929"/>
              </a:lnTo>
              <a:lnTo>
                <a:pt x="5108835" y="4005411"/>
              </a:lnTo>
              <a:lnTo>
                <a:pt x="5159819" y="3999664"/>
              </a:lnTo>
              <a:lnTo>
                <a:pt x="5212438" y="3993924"/>
              </a:lnTo>
              <a:lnTo>
                <a:pt x="5265620" y="3988426"/>
              </a:lnTo>
              <a:lnTo>
                <a:pt x="5319779" y="3983199"/>
              </a:lnTo>
              <a:lnTo>
                <a:pt x="5375253" y="3978130"/>
              </a:lnTo>
              <a:lnTo>
                <a:pt x="5430858" y="3973238"/>
              </a:lnTo>
              <a:lnTo>
                <a:pt x="5485409" y="3968546"/>
              </a:lnTo>
              <a:lnTo>
                <a:pt x="5539151" y="3964100"/>
              </a:lnTo>
              <a:lnTo>
                <a:pt x="5592531" y="3959877"/>
              </a:lnTo>
              <a:lnTo>
                <a:pt x="5644658" y="3955786"/>
              </a:lnTo>
              <a:lnTo>
                <a:pt x="5694646" y="3951737"/>
              </a:lnTo>
              <a:lnTo>
                <a:pt x="5742641" y="3947704"/>
              </a:lnTo>
              <a:lnTo>
                <a:pt x="5788988" y="3943736"/>
              </a:lnTo>
              <a:lnTo>
                <a:pt x="5833098" y="3939854"/>
              </a:lnTo>
              <a:lnTo>
                <a:pt x="5874383" y="3936081"/>
              </a:lnTo>
              <a:lnTo>
                <a:pt x="5912763" y="3932383"/>
              </a:lnTo>
              <a:lnTo>
                <a:pt x="5981635" y="3925290"/>
              </a:lnTo>
              <a:lnTo>
                <a:pt x="6039623" y="3919065"/>
              </a:lnTo>
              <a:lnTo>
                <a:pt x="6086729" y="3913709"/>
              </a:lnTo>
              <a:lnTo>
                <a:pt x="6124869" y="3908760"/>
              </a:lnTo>
              <a:lnTo>
                <a:pt x="6165859" y="3902179"/>
              </a:lnTo>
              <a:lnTo>
                <a:pt x="6199530" y="3893800"/>
              </a:lnTo>
              <a:lnTo>
                <a:pt x="6198539" y="3892192"/>
              </a:lnTo>
              <a:lnTo>
                <a:pt x="6191798" y="3891365"/>
              </a:lnTo>
              <a:lnTo>
                <a:pt x="6185569" y="3890816"/>
              </a:lnTo>
              <a:lnTo>
                <a:pt x="6177155" y="3890462"/>
              </a:lnTo>
              <a:lnTo>
                <a:pt x="6166805" y="3890377"/>
              </a:lnTo>
              <a:lnTo>
                <a:pt x="6154765" y="3890638"/>
              </a:lnTo>
              <a:lnTo>
                <a:pt x="6108090" y="3893571"/>
              </a:lnTo>
              <a:lnTo>
                <a:pt x="6069275" y="3896622"/>
              </a:lnTo>
              <a:lnTo>
                <a:pt x="6024533" y="3900449"/>
              </a:lnTo>
              <a:lnTo>
                <a:pt x="5973591" y="3905707"/>
              </a:lnTo>
              <a:lnTo>
                <a:pt x="5916447" y="3912393"/>
              </a:lnTo>
              <a:lnTo>
                <a:pt x="5885964" y="3915926"/>
              </a:lnTo>
              <a:lnTo>
                <a:pt x="5854362" y="3919594"/>
              </a:lnTo>
              <a:lnTo>
                <a:pt x="5821527" y="3923443"/>
              </a:lnTo>
              <a:lnTo>
                <a:pt x="5787335" y="3927307"/>
              </a:lnTo>
              <a:lnTo>
                <a:pt x="5714355" y="3934547"/>
              </a:lnTo>
              <a:lnTo>
                <a:pt x="5675515" y="3937976"/>
              </a:lnTo>
              <a:lnTo>
                <a:pt x="5635420" y="3941311"/>
              </a:lnTo>
              <a:lnTo>
                <a:pt x="5594342" y="3944556"/>
              </a:lnTo>
              <a:lnTo>
                <a:pt x="5552152" y="3947744"/>
              </a:lnTo>
              <a:lnTo>
                <a:pt x="5508771" y="3950860"/>
              </a:lnTo>
              <a:lnTo>
                <a:pt x="5464550" y="3953845"/>
              </a:lnTo>
              <a:lnTo>
                <a:pt x="5419838" y="3956635"/>
              </a:lnTo>
              <a:lnTo>
                <a:pt x="5374415" y="3959224"/>
              </a:lnTo>
              <a:lnTo>
                <a:pt x="5328199" y="3961642"/>
              </a:lnTo>
              <a:lnTo>
                <a:pt x="5281747" y="3963881"/>
              </a:lnTo>
              <a:lnTo>
                <a:pt x="5235614" y="3965930"/>
              </a:lnTo>
              <a:lnTo>
                <a:pt x="5189572" y="3967704"/>
              </a:lnTo>
              <a:lnTo>
                <a:pt x="5143452" y="3969235"/>
              </a:lnTo>
              <a:lnTo>
                <a:pt x="5097892" y="3970695"/>
              </a:lnTo>
              <a:lnTo>
                <a:pt x="5053535" y="3972254"/>
              </a:lnTo>
              <a:lnTo>
                <a:pt x="5010238" y="3973977"/>
              </a:lnTo>
              <a:lnTo>
                <a:pt x="4967763" y="3975767"/>
              </a:lnTo>
              <a:lnTo>
                <a:pt x="4926609" y="3977551"/>
              </a:lnTo>
              <a:lnTo>
                <a:pt x="4887275" y="3979257"/>
              </a:lnTo>
              <a:lnTo>
                <a:pt x="4813606" y="3982479"/>
              </a:lnTo>
              <a:lnTo>
                <a:pt x="4779423" y="3983995"/>
              </a:lnTo>
              <a:lnTo>
                <a:pt x="4747463" y="3985410"/>
              </a:lnTo>
              <a:lnTo>
                <a:pt x="4717491" y="3986720"/>
              </a:lnTo>
              <a:lnTo>
                <a:pt x="4689432" y="3987938"/>
              </a:lnTo>
              <a:lnTo>
                <a:pt x="4663874" y="3989063"/>
              </a:lnTo>
              <a:lnTo>
                <a:pt x="4641402" y="3990091"/>
              </a:lnTo>
              <a:lnTo>
                <a:pt x="4621999" y="3991130"/>
              </a:lnTo>
              <a:lnTo>
                <a:pt x="4605411" y="3992146"/>
              </a:lnTo>
              <a:lnTo>
                <a:pt x="4591866" y="3992922"/>
              </a:lnTo>
              <a:lnTo>
                <a:pt x="4581593" y="3993240"/>
              </a:lnTo>
              <a:lnTo>
                <a:pt x="4570176" y="3993263"/>
              </a:lnTo>
              <a:lnTo>
                <a:pt x="4566702" y="3992200"/>
              </a:lnTo>
              <a:lnTo>
                <a:pt x="4618808" y="3981408"/>
              </a:lnTo>
              <a:lnTo>
                <a:pt x="4662031" y="3974393"/>
              </a:lnTo>
              <a:lnTo>
                <a:pt x="4718242" y="3966322"/>
              </a:lnTo>
              <a:lnTo>
                <a:pt x="4786370" y="3957909"/>
              </a:lnTo>
              <a:lnTo>
                <a:pt x="4825338" y="3953516"/>
              </a:lnTo>
              <a:lnTo>
                <a:pt x="4868056" y="3949048"/>
              </a:lnTo>
              <a:lnTo>
                <a:pt x="4914838" y="3944497"/>
              </a:lnTo>
              <a:lnTo>
                <a:pt x="4965419" y="3939848"/>
              </a:lnTo>
              <a:lnTo>
                <a:pt x="5019290" y="3935132"/>
              </a:lnTo>
              <a:lnTo>
                <a:pt x="5075940" y="3930377"/>
              </a:lnTo>
              <a:lnTo>
                <a:pt x="5123395" y="3926518"/>
              </a:lnTo>
              <a:lnTo>
                <a:pt x="5172951" y="3922595"/>
              </a:lnTo>
              <a:lnTo>
                <a:pt x="5224288" y="3918659"/>
              </a:lnTo>
              <a:lnTo>
                <a:pt x="5277081" y="3914757"/>
              </a:lnTo>
              <a:lnTo>
                <a:pt x="5331007" y="3910941"/>
              </a:lnTo>
              <a:lnTo>
                <a:pt x="5377034" y="3907838"/>
              </a:lnTo>
              <a:lnTo>
                <a:pt x="5424283" y="3904782"/>
              </a:lnTo>
              <a:lnTo>
                <a:pt x="5472469" y="3901762"/>
              </a:lnTo>
              <a:lnTo>
                <a:pt x="5521305" y="3898767"/>
              </a:lnTo>
              <a:lnTo>
                <a:pt x="5570507" y="3895786"/>
              </a:lnTo>
              <a:lnTo>
                <a:pt x="5619789" y="3892807"/>
              </a:lnTo>
              <a:lnTo>
                <a:pt x="5669605" y="3889801"/>
              </a:lnTo>
              <a:lnTo>
                <a:pt x="5720276" y="3886770"/>
              </a:lnTo>
              <a:lnTo>
                <a:pt x="5771311" y="3883753"/>
              </a:lnTo>
              <a:lnTo>
                <a:pt x="5822223" y="3880788"/>
              </a:lnTo>
              <a:lnTo>
                <a:pt x="5872522" y="3877913"/>
              </a:lnTo>
              <a:lnTo>
                <a:pt x="5921719" y="3875166"/>
              </a:lnTo>
              <a:lnTo>
                <a:pt x="5970150" y="3872550"/>
              </a:lnTo>
              <a:lnTo>
                <a:pt x="6018272" y="3870036"/>
              </a:lnTo>
              <a:lnTo>
                <a:pt x="6065782" y="3867612"/>
              </a:lnTo>
              <a:lnTo>
                <a:pt x="6112375" y="3865268"/>
              </a:lnTo>
              <a:lnTo>
                <a:pt x="6157744" y="3862991"/>
              </a:lnTo>
              <a:lnTo>
                <a:pt x="6201585" y="3860771"/>
              </a:lnTo>
              <a:lnTo>
                <a:pt x="6252488" y="3858199"/>
              </a:lnTo>
              <a:lnTo>
                <a:pt x="6301841" y="3855738"/>
              </a:lnTo>
              <a:lnTo>
                <a:pt x="6349327" y="3853369"/>
              </a:lnTo>
              <a:lnTo>
                <a:pt x="6394629" y="3851071"/>
              </a:lnTo>
              <a:lnTo>
                <a:pt x="6437430" y="3848826"/>
              </a:lnTo>
              <a:lnTo>
                <a:pt x="6487488" y="3846111"/>
              </a:lnTo>
              <a:lnTo>
                <a:pt x="6533996" y="3843509"/>
              </a:lnTo>
              <a:lnTo>
                <a:pt x="6576871" y="3840988"/>
              </a:lnTo>
              <a:lnTo>
                <a:pt x="6616033" y="3838516"/>
              </a:lnTo>
              <a:lnTo>
                <a:pt x="6682745" y="3833648"/>
              </a:lnTo>
              <a:lnTo>
                <a:pt x="6735653" y="3829157"/>
              </a:lnTo>
              <a:lnTo>
                <a:pt x="6775792" y="3825239"/>
              </a:lnTo>
              <a:lnTo>
                <a:pt x="6818979" y="3819812"/>
              </a:lnTo>
              <a:lnTo>
                <a:pt x="6826578" y="3816844"/>
              </a:lnTo>
              <a:lnTo>
                <a:pt x="6827033" y="3815503"/>
              </a:lnTo>
              <a:lnTo>
                <a:pt x="6818384" y="3814302"/>
              </a:lnTo>
              <a:lnTo>
                <a:pt x="6806549" y="3813814"/>
              </a:lnTo>
              <a:lnTo>
                <a:pt x="6796556" y="3813469"/>
              </a:lnTo>
              <a:lnTo>
                <a:pt x="6784531" y="3813268"/>
              </a:lnTo>
              <a:lnTo>
                <a:pt x="6770768" y="3813365"/>
              </a:lnTo>
              <a:lnTo>
                <a:pt x="6720374" y="3816434"/>
              </a:lnTo>
              <a:lnTo>
                <a:pt x="6679942" y="3820422"/>
              </a:lnTo>
              <a:lnTo>
                <a:pt x="6635435" y="3825667"/>
              </a:lnTo>
              <a:lnTo>
                <a:pt x="6587027" y="3832268"/>
              </a:lnTo>
              <a:lnTo>
                <a:pt x="6535197" y="3840414"/>
              </a:lnTo>
              <a:lnTo>
                <a:pt x="6480191" y="3849629"/>
              </a:lnTo>
              <a:lnTo>
                <a:pt x="6422368" y="3859562"/>
              </a:lnTo>
              <a:lnTo>
                <a:pt x="6392415" y="3864773"/>
              </a:lnTo>
              <a:lnTo>
                <a:pt x="6361866" y="3870037"/>
              </a:lnTo>
              <a:lnTo>
                <a:pt x="6299328" y="3880693"/>
              </a:lnTo>
              <a:lnTo>
                <a:pt x="6233599" y="3891739"/>
              </a:lnTo>
              <a:lnTo>
                <a:pt x="6163330" y="3903477"/>
              </a:lnTo>
              <a:lnTo>
                <a:pt x="6089751" y="3915258"/>
              </a:lnTo>
              <a:lnTo>
                <a:pt x="6013785" y="3926554"/>
              </a:lnTo>
              <a:lnTo>
                <a:pt x="5974765" y="3932031"/>
              </a:lnTo>
              <a:lnTo>
                <a:pt x="5935012" y="3937308"/>
              </a:lnTo>
              <a:lnTo>
                <a:pt x="5894294" y="3942416"/>
              </a:lnTo>
              <a:lnTo>
                <a:pt x="5852701" y="3947374"/>
              </a:lnTo>
              <a:lnTo>
                <a:pt x="5810691" y="3952096"/>
              </a:lnTo>
              <a:lnTo>
                <a:pt x="5768719" y="3956496"/>
              </a:lnTo>
              <a:lnTo>
                <a:pt x="5726625" y="3960524"/>
              </a:lnTo>
              <a:lnTo>
                <a:pt x="5684261" y="3964235"/>
              </a:lnTo>
              <a:lnTo>
                <a:pt x="5642098" y="3967700"/>
              </a:lnTo>
              <a:lnTo>
                <a:pt x="5600604" y="3970989"/>
              </a:lnTo>
              <a:lnTo>
                <a:pt x="5559662" y="3974122"/>
              </a:lnTo>
              <a:lnTo>
                <a:pt x="5519100" y="3977060"/>
              </a:lnTo>
              <a:lnTo>
                <a:pt x="5479317" y="3979789"/>
              </a:lnTo>
              <a:lnTo>
                <a:pt x="5440710" y="3982292"/>
              </a:lnTo>
              <a:lnTo>
                <a:pt x="5366433" y="3986598"/>
              </a:lnTo>
              <a:lnTo>
                <a:pt x="5297521" y="3990078"/>
              </a:lnTo>
              <a:lnTo>
                <a:pt x="5235433" y="3992770"/>
              </a:lnTo>
              <a:lnTo>
                <a:pt x="5180543" y="3994783"/>
              </a:lnTo>
              <a:lnTo>
                <a:pt x="5133180" y="3996412"/>
              </a:lnTo>
              <a:lnTo>
                <a:pt x="5094936" y="3997147"/>
              </a:lnTo>
              <a:lnTo>
                <a:pt x="5080040" y="3997033"/>
              </a:lnTo>
              <a:lnTo>
                <a:pt x="5042573" y="3989345"/>
              </a:lnTo>
              <a:lnTo>
                <a:pt x="5048133" y="3985398"/>
              </a:lnTo>
              <a:lnTo>
                <a:pt x="5084276" y="3971015"/>
              </a:lnTo>
              <a:lnTo>
                <a:pt x="5133266" y="3959190"/>
              </a:lnTo>
              <a:lnTo>
                <a:pt x="5174784" y="3950389"/>
              </a:lnTo>
              <a:lnTo>
                <a:pt x="5223111" y="3940778"/>
              </a:lnTo>
              <a:lnTo>
                <a:pt x="5277295" y="3930807"/>
              </a:lnTo>
              <a:lnTo>
                <a:pt x="5337335" y="3920476"/>
              </a:lnTo>
              <a:lnTo>
                <a:pt x="5401796" y="3910070"/>
              </a:lnTo>
              <a:lnTo>
                <a:pt x="5470680" y="3899591"/>
              </a:lnTo>
              <a:lnTo>
                <a:pt x="5505726" y="3894208"/>
              </a:lnTo>
              <a:lnTo>
                <a:pt x="5541035" y="3888675"/>
              </a:lnTo>
              <a:lnTo>
                <a:pt x="5576823" y="3883024"/>
              </a:lnTo>
              <a:lnTo>
                <a:pt x="5612862" y="3877321"/>
              </a:lnTo>
              <a:lnTo>
                <a:pt x="5648922" y="3871629"/>
              </a:lnTo>
              <a:lnTo>
                <a:pt x="5685105" y="3865942"/>
              </a:lnTo>
              <a:lnTo>
                <a:pt x="5721480" y="3860233"/>
              </a:lnTo>
              <a:lnTo>
                <a:pt x="5757766" y="3854537"/>
              </a:lnTo>
              <a:lnTo>
                <a:pt x="5793687" y="3848886"/>
              </a:lnTo>
              <a:lnTo>
                <a:pt x="5829436" y="3843278"/>
              </a:lnTo>
              <a:lnTo>
                <a:pt x="5865074" y="3837701"/>
              </a:lnTo>
              <a:lnTo>
                <a:pt x="5900115" y="3832166"/>
              </a:lnTo>
              <a:lnTo>
                <a:pt x="5967051" y="3821262"/>
              </a:lnTo>
              <a:lnTo>
                <a:pt x="6030244" y="3810566"/>
              </a:lnTo>
              <a:lnTo>
                <a:pt x="6087777" y="3800035"/>
              </a:lnTo>
              <a:lnTo>
                <a:pt x="6139650" y="3789669"/>
              </a:lnTo>
              <a:lnTo>
                <a:pt x="6185208" y="3779861"/>
              </a:lnTo>
              <a:lnTo>
                <a:pt x="6224451" y="3770612"/>
              </a:lnTo>
              <a:lnTo>
                <a:pt x="6268645" y="3758809"/>
              </a:lnTo>
              <a:lnTo>
                <a:pt x="6303936" y="3745319"/>
              </a:lnTo>
              <a:lnTo>
                <a:pt x="6303901" y="3742785"/>
              </a:lnTo>
              <a:lnTo>
                <a:pt x="6303867" y="3740251"/>
              </a:lnTo>
              <a:lnTo>
                <a:pt x="6255631" y="3734965"/>
              </a:lnTo>
              <a:lnTo>
                <a:pt x="6208317" y="3733283"/>
              </a:lnTo>
              <a:lnTo>
                <a:pt x="6189494" y="3732701"/>
              </a:lnTo>
              <a:lnTo>
                <a:pt x="6148315" y="3730936"/>
              </a:lnTo>
              <a:lnTo>
                <a:pt x="6102190" y="3728495"/>
              </a:lnTo>
              <a:lnTo>
                <a:pt x="6052244" y="3724633"/>
              </a:lnTo>
              <a:lnTo>
                <a:pt x="5998478" y="3719349"/>
              </a:lnTo>
              <a:lnTo>
                <a:pt x="5941851" y="3713108"/>
              </a:lnTo>
              <a:lnTo>
                <a:pt x="5882363" y="3705909"/>
              </a:lnTo>
              <a:lnTo>
                <a:pt x="5818916" y="3697223"/>
              </a:lnTo>
              <a:lnTo>
                <a:pt x="5751511" y="3687051"/>
              </a:lnTo>
              <a:lnTo>
                <a:pt x="5676801" y="3674531"/>
              </a:lnTo>
              <a:lnTo>
                <a:pt x="5636845" y="3667412"/>
              </a:lnTo>
              <a:lnTo>
                <a:pt x="5594787" y="3659665"/>
              </a:lnTo>
              <a:lnTo>
                <a:pt x="5550189" y="3651212"/>
              </a:lnTo>
              <a:lnTo>
                <a:pt x="5502859" y="3642129"/>
              </a:lnTo>
              <a:lnTo>
                <a:pt x="5453057" y="3632427"/>
              </a:lnTo>
              <a:lnTo>
                <a:pt x="5401019" y="3621925"/>
              </a:lnTo>
              <a:lnTo>
                <a:pt x="5346983" y="3610443"/>
              </a:lnTo>
              <a:lnTo>
                <a:pt x="5302224" y="3600515"/>
              </a:lnTo>
              <a:lnTo>
                <a:pt x="5256004" y="3589989"/>
              </a:lnTo>
              <a:lnTo>
                <a:pt x="5208521" y="3578880"/>
              </a:lnTo>
              <a:lnTo>
                <a:pt x="5159970" y="3567200"/>
              </a:lnTo>
              <a:lnTo>
                <a:pt x="5110548" y="3554965"/>
              </a:lnTo>
              <a:lnTo>
                <a:pt x="5060174" y="3542080"/>
              </a:lnTo>
              <a:lnTo>
                <a:pt x="5008716" y="3528534"/>
              </a:lnTo>
              <a:lnTo>
                <a:pt x="4956298" y="3514471"/>
              </a:lnTo>
              <a:lnTo>
                <a:pt x="4903041" y="3500033"/>
              </a:lnTo>
              <a:lnTo>
                <a:pt x="4849068" y="3485362"/>
              </a:lnTo>
              <a:lnTo>
                <a:pt x="4803369" y="3472952"/>
              </a:lnTo>
              <a:lnTo>
                <a:pt x="4756898" y="3460299"/>
              </a:lnTo>
              <a:lnTo>
                <a:pt x="4709873" y="3447419"/>
              </a:lnTo>
              <a:lnTo>
                <a:pt x="4662513" y="3434327"/>
              </a:lnTo>
              <a:lnTo>
                <a:pt x="4615033" y="3421038"/>
              </a:lnTo>
              <a:lnTo>
                <a:pt x="4567653" y="3407569"/>
              </a:lnTo>
              <a:lnTo>
                <a:pt x="4520067" y="3393820"/>
              </a:lnTo>
              <a:lnTo>
                <a:pt x="4472041" y="3379761"/>
              </a:lnTo>
              <a:lnTo>
                <a:pt x="4423897" y="3365505"/>
              </a:lnTo>
              <a:lnTo>
                <a:pt x="4375956" y="3351168"/>
              </a:lnTo>
              <a:lnTo>
                <a:pt x="4328539" y="3336863"/>
              </a:lnTo>
              <a:lnTo>
                <a:pt x="4281968" y="3322705"/>
              </a:lnTo>
              <a:lnTo>
                <a:pt x="4236036" y="3308610"/>
              </a:lnTo>
              <a:lnTo>
                <a:pt x="4190445" y="3294472"/>
              </a:lnTo>
              <a:lnTo>
                <a:pt x="4145378" y="3280365"/>
              </a:lnTo>
              <a:lnTo>
                <a:pt x="4101020" y="3266369"/>
              </a:lnTo>
              <a:lnTo>
                <a:pt x="4057553" y="3252559"/>
              </a:lnTo>
              <a:lnTo>
                <a:pt x="4015162" y="3239012"/>
              </a:lnTo>
              <a:lnTo>
                <a:pt x="3965557" y="3223078"/>
              </a:lnTo>
              <a:lnTo>
                <a:pt x="3917140" y="3207414"/>
              </a:lnTo>
              <a:lnTo>
                <a:pt x="3870056" y="3192017"/>
              </a:lnTo>
              <a:lnTo>
                <a:pt x="3824448" y="3176890"/>
              </a:lnTo>
              <a:lnTo>
                <a:pt x="3780461" y="3162031"/>
              </a:lnTo>
              <a:lnTo>
                <a:pt x="3727634" y="3143750"/>
              </a:lnTo>
              <a:lnTo>
                <a:pt x="3677117" y="3125830"/>
              </a:lnTo>
              <a:lnTo>
                <a:pt x="3629128" y="3108447"/>
              </a:lnTo>
              <a:lnTo>
                <a:pt x="3583883" y="3091775"/>
              </a:lnTo>
              <a:lnTo>
                <a:pt x="3541421" y="3075765"/>
              </a:lnTo>
              <a:lnTo>
                <a:pt x="3501633" y="3060355"/>
              </a:lnTo>
              <a:lnTo>
                <a:pt x="3464514" y="3045703"/>
              </a:lnTo>
              <a:lnTo>
                <a:pt x="3398442" y="3019215"/>
              </a:lnTo>
              <a:lnTo>
                <a:pt x="3343205" y="2996302"/>
              </a:lnTo>
              <a:lnTo>
                <a:pt x="3296789" y="2976237"/>
              </a:lnTo>
              <a:lnTo>
                <a:pt x="3259194" y="2959022"/>
              </a:lnTo>
              <a:lnTo>
                <a:pt x="3216477" y="2937966"/>
              </a:lnTo>
              <a:lnTo>
                <a:pt x="3181802" y="2917476"/>
              </a:lnTo>
              <a:lnTo>
                <a:pt x="3159094" y="2894281"/>
              </a:lnTo>
              <a:lnTo>
                <a:pt x="3159104" y="2891259"/>
              </a:lnTo>
              <a:lnTo>
                <a:pt x="3159225" y="2888750"/>
              </a:lnTo>
              <a:lnTo>
                <a:pt x="3159347" y="2886241"/>
              </a:lnTo>
              <a:lnTo>
                <a:pt x="3161479" y="2883729"/>
              </a:lnTo>
              <a:lnTo>
                <a:pt x="3161930" y="2882725"/>
              </a:lnTo>
            </a:path>
          </a:pathLst>
        </a:custGeom>
        <a:ln w="228600">
          <a:solidFill>
            <a:srgbClr val="FFFFFF"/>
          </a:solidFill>
        </a:ln>
      </xdr:spPr>
    </xdr:sp>
    <xdr:clientData/>
  </xdr:oneCellAnchor>
  <xdr:oneCellAnchor>
    <xdr:from>
      <xdr:col>0</xdr:col>
      <xdr:colOff>67360</xdr:colOff>
      <xdr:row>267</xdr:row>
      <xdr:rowOff>200275</xdr:rowOff>
    </xdr:from>
    <xdr:ext cx="5903595" cy="6350"/>
    <xdr:sp macro="" textlink="">
      <xdr:nvSpPr>
        <xdr:cNvPr id="8" name="Shape 8">
          <a:extLst>
            <a:ext uri="{FF2B5EF4-FFF2-40B4-BE49-F238E27FC236}">
              <a16:creationId xmlns:a16="http://schemas.microsoft.com/office/drawing/2014/main" id="{00000000-0008-0000-0000-000008000000}"/>
            </a:ext>
          </a:extLst>
        </xdr:cNvPr>
        <xdr:cNvSpPr/>
      </xdr:nvSpPr>
      <xdr:spPr>
        <a:xfrm>
          <a:off x="0" y="0"/>
          <a:ext cx="5903595" cy="6350"/>
        </a:xfrm>
        <a:custGeom>
          <a:avLst/>
          <a:gdLst/>
          <a:ahLst/>
          <a:cxnLst/>
          <a:rect l="0" t="0" r="0" b="0"/>
          <a:pathLst>
            <a:path w="5903595" h="6350">
              <a:moveTo>
                <a:pt x="5903341" y="0"/>
              </a:moveTo>
              <a:lnTo>
                <a:pt x="0" y="0"/>
              </a:lnTo>
              <a:lnTo>
                <a:pt x="0" y="6096"/>
              </a:lnTo>
              <a:lnTo>
                <a:pt x="5903341" y="6096"/>
              </a:lnTo>
              <a:lnTo>
                <a:pt x="5903341" y="0"/>
              </a:lnTo>
              <a:close/>
            </a:path>
          </a:pathLst>
        </a:custGeom>
        <a:solidFill>
          <a:srgbClr val="000000"/>
        </a:solidFill>
      </xdr:spPr>
    </xdr:sp>
    <xdr:clientData/>
  </xdr:oneCellAnchor>
  <xdr:oneCellAnchor>
    <xdr:from>
      <xdr:col>0</xdr:col>
      <xdr:colOff>67360</xdr:colOff>
      <xdr:row>290</xdr:row>
      <xdr:rowOff>190968</xdr:rowOff>
    </xdr:from>
    <xdr:ext cx="5903595" cy="6350"/>
    <xdr:sp macro="" textlink="">
      <xdr:nvSpPr>
        <xdr:cNvPr id="9" name="Shape 9">
          <a:extLst>
            <a:ext uri="{FF2B5EF4-FFF2-40B4-BE49-F238E27FC236}">
              <a16:creationId xmlns:a16="http://schemas.microsoft.com/office/drawing/2014/main" id="{00000000-0008-0000-0000-000009000000}"/>
            </a:ext>
          </a:extLst>
        </xdr:cNvPr>
        <xdr:cNvSpPr/>
      </xdr:nvSpPr>
      <xdr:spPr>
        <a:xfrm>
          <a:off x="0" y="0"/>
          <a:ext cx="5903595" cy="6350"/>
        </a:xfrm>
        <a:custGeom>
          <a:avLst/>
          <a:gdLst/>
          <a:ahLst/>
          <a:cxnLst/>
          <a:rect l="0" t="0" r="0" b="0"/>
          <a:pathLst>
            <a:path w="5903595" h="6350">
              <a:moveTo>
                <a:pt x="5903341" y="0"/>
              </a:moveTo>
              <a:lnTo>
                <a:pt x="0" y="0"/>
              </a:lnTo>
              <a:lnTo>
                <a:pt x="0" y="6096"/>
              </a:lnTo>
              <a:lnTo>
                <a:pt x="5903341" y="6096"/>
              </a:lnTo>
              <a:lnTo>
                <a:pt x="5903341" y="0"/>
              </a:lnTo>
              <a:close/>
            </a:path>
          </a:pathLst>
        </a:custGeom>
        <a:solidFill>
          <a:srgbClr val="000000"/>
        </a:solidFill>
      </xdr:spPr>
    </xdr:sp>
    <xdr:clientData/>
  </xdr:oneCellAnchor>
  <xdr:oneCellAnchor>
    <xdr:from>
      <xdr:col>0</xdr:col>
      <xdr:colOff>67360</xdr:colOff>
      <xdr:row>301</xdr:row>
      <xdr:rowOff>190976</xdr:rowOff>
    </xdr:from>
    <xdr:ext cx="5903595" cy="6350"/>
    <xdr:sp macro="" textlink="">
      <xdr:nvSpPr>
        <xdr:cNvPr id="10" name="Shape 10">
          <a:extLst>
            <a:ext uri="{FF2B5EF4-FFF2-40B4-BE49-F238E27FC236}">
              <a16:creationId xmlns:a16="http://schemas.microsoft.com/office/drawing/2014/main" id="{00000000-0008-0000-0000-00000A000000}"/>
            </a:ext>
          </a:extLst>
        </xdr:cNvPr>
        <xdr:cNvSpPr/>
      </xdr:nvSpPr>
      <xdr:spPr>
        <a:xfrm>
          <a:off x="0" y="0"/>
          <a:ext cx="5903595" cy="6350"/>
        </a:xfrm>
        <a:custGeom>
          <a:avLst/>
          <a:gdLst/>
          <a:ahLst/>
          <a:cxnLst/>
          <a:rect l="0" t="0" r="0" b="0"/>
          <a:pathLst>
            <a:path w="5903595" h="6350">
              <a:moveTo>
                <a:pt x="5903341" y="0"/>
              </a:moveTo>
              <a:lnTo>
                <a:pt x="0" y="0"/>
              </a:lnTo>
              <a:lnTo>
                <a:pt x="0" y="6096"/>
              </a:lnTo>
              <a:lnTo>
                <a:pt x="5903341" y="6096"/>
              </a:lnTo>
              <a:lnTo>
                <a:pt x="5903341" y="0"/>
              </a:lnTo>
              <a:close/>
            </a:path>
          </a:pathLst>
        </a:custGeom>
        <a:solidFill>
          <a:srgbClr val="000000"/>
        </a:solidFill>
      </xdr:spPr>
    </xdr:sp>
    <xdr:clientData/>
  </xdr:oneCellAnchor>
  <xdr:oneCellAnchor>
    <xdr:from>
      <xdr:col>0</xdr:col>
      <xdr:colOff>67360</xdr:colOff>
      <xdr:row>313</xdr:row>
      <xdr:rowOff>265340</xdr:rowOff>
    </xdr:from>
    <xdr:ext cx="5903595" cy="6350"/>
    <xdr:sp macro="" textlink="">
      <xdr:nvSpPr>
        <xdr:cNvPr id="11" name="Shape 11">
          <a:extLst>
            <a:ext uri="{FF2B5EF4-FFF2-40B4-BE49-F238E27FC236}">
              <a16:creationId xmlns:a16="http://schemas.microsoft.com/office/drawing/2014/main" id="{00000000-0008-0000-0000-00000B000000}"/>
            </a:ext>
          </a:extLst>
        </xdr:cNvPr>
        <xdr:cNvSpPr/>
      </xdr:nvSpPr>
      <xdr:spPr>
        <a:xfrm>
          <a:off x="0" y="0"/>
          <a:ext cx="5903595" cy="6350"/>
        </a:xfrm>
        <a:custGeom>
          <a:avLst/>
          <a:gdLst/>
          <a:ahLst/>
          <a:cxnLst/>
          <a:rect l="0" t="0" r="0" b="0"/>
          <a:pathLst>
            <a:path w="5903595" h="6350">
              <a:moveTo>
                <a:pt x="5903341" y="0"/>
              </a:moveTo>
              <a:lnTo>
                <a:pt x="0" y="0"/>
              </a:lnTo>
              <a:lnTo>
                <a:pt x="0" y="6096"/>
              </a:lnTo>
              <a:lnTo>
                <a:pt x="5903341" y="6096"/>
              </a:lnTo>
              <a:lnTo>
                <a:pt x="5903341" y="0"/>
              </a:lnTo>
              <a:close/>
            </a:path>
          </a:pathLst>
        </a:custGeom>
        <a:solidFill>
          <a:srgbClr val="000000"/>
        </a:solidFill>
      </xdr:spPr>
    </xdr:sp>
    <xdr:clientData/>
  </xdr:oneCellAnchor>
</xdr:wsDr>
</file>

<file path=xl/drawings/drawing2.xml><?xml version="1.0" encoding="utf-8"?>
<xdr:wsDr xmlns:xdr="http://schemas.openxmlformats.org/drawingml/2006/spreadsheetDrawing" xmlns:a="http://schemas.openxmlformats.org/drawingml/2006/main">
  <xdr:twoCellAnchor>
    <xdr:from>
      <xdr:col>13</xdr:col>
      <xdr:colOff>14287</xdr:colOff>
      <xdr:row>16</xdr:row>
      <xdr:rowOff>0</xdr:rowOff>
    </xdr:from>
    <xdr:to>
      <xdr:col>19</xdr:col>
      <xdr:colOff>295275</xdr:colOff>
      <xdr:row>32</xdr:row>
      <xdr:rowOff>152400</xdr:rowOff>
    </xdr:to>
    <xdr:graphicFrame macro="">
      <xdr:nvGraphicFramePr>
        <xdr:cNvPr id="2" name="Chart 1">
          <a:extLst>
            <a:ext uri="{FF2B5EF4-FFF2-40B4-BE49-F238E27FC236}">
              <a16:creationId xmlns:a16="http://schemas.microsoft.com/office/drawing/2014/main" id="{72278A82-56E3-C47C-1F50-9CB84ADD5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14287</xdr:colOff>
      <xdr:row>35</xdr:row>
      <xdr:rowOff>19050</xdr:rowOff>
    </xdr:from>
    <xdr:to>
      <xdr:col>19</xdr:col>
      <xdr:colOff>333375</xdr:colOff>
      <xdr:row>51</xdr:row>
      <xdr:rowOff>114300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B31465FD-2F85-7EC2-FE7C-C7D92D930A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529637" y="5838825"/>
              <a:ext cx="4310063" cy="2686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23812</xdr:colOff>
      <xdr:row>6</xdr:row>
      <xdr:rowOff>28574</xdr:rowOff>
    </xdr:from>
    <xdr:to>
      <xdr:col>29</xdr:col>
      <xdr:colOff>114300</xdr:colOff>
      <xdr:row>19</xdr:row>
      <xdr:rowOff>114299</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3A363E2-F76A-D037-6B32-D7EB5392E6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4682787" y="1076324"/>
              <a:ext cx="4452938" cy="2190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52387</xdr:colOff>
      <xdr:row>21</xdr:row>
      <xdr:rowOff>142874</xdr:rowOff>
    </xdr:from>
    <xdr:to>
      <xdr:col>29</xdr:col>
      <xdr:colOff>171450</xdr:colOff>
      <xdr:row>37</xdr:row>
      <xdr:rowOff>152399</xdr:rowOff>
    </xdr:to>
    <xdr:graphicFrame macro="">
      <xdr:nvGraphicFramePr>
        <xdr:cNvPr id="5" name="Chart 4">
          <a:extLst>
            <a:ext uri="{FF2B5EF4-FFF2-40B4-BE49-F238E27FC236}">
              <a16:creationId xmlns:a16="http://schemas.microsoft.com/office/drawing/2014/main" id="{5E1F2C35-9922-2E3C-1977-16DE0ECB25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176212</xdr:colOff>
      <xdr:row>6</xdr:row>
      <xdr:rowOff>47625</xdr:rowOff>
    </xdr:from>
    <xdr:to>
      <xdr:col>39</xdr:col>
      <xdr:colOff>385762</xdr:colOff>
      <xdr:row>22</xdr:row>
      <xdr:rowOff>123825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462475A4-4C3E-F9F1-0A98-9EB8BDD90F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0378737" y="1095375"/>
              <a:ext cx="4667250" cy="2667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185737</xdr:colOff>
      <xdr:row>25</xdr:row>
      <xdr:rowOff>76200</xdr:rowOff>
    </xdr:from>
    <xdr:to>
      <xdr:col>39</xdr:col>
      <xdr:colOff>395287</xdr:colOff>
      <xdr:row>41</xdr:row>
      <xdr:rowOff>152400</xdr:rowOff>
    </xdr:to>
    <xdr:graphicFrame macro="">
      <xdr:nvGraphicFramePr>
        <xdr:cNvPr id="7" name="Chart 6">
          <a:extLst>
            <a:ext uri="{FF2B5EF4-FFF2-40B4-BE49-F238E27FC236}">
              <a16:creationId xmlns:a16="http://schemas.microsoft.com/office/drawing/2014/main" id="{A158CA8E-A846-A254-14DD-3683DDD428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471487</xdr:colOff>
      <xdr:row>5</xdr:row>
      <xdr:rowOff>95250</xdr:rowOff>
    </xdr:from>
    <xdr:to>
      <xdr:col>51</xdr:col>
      <xdr:colOff>242887</xdr:colOff>
      <xdr:row>22</xdr:row>
      <xdr:rowOff>85725</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FE7E57A1-8860-14BC-8811-96A0AA535B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7351037" y="981075"/>
              <a:ext cx="47244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43</xdr:col>
      <xdr:colOff>14287</xdr:colOff>
      <xdr:row>25</xdr:row>
      <xdr:rowOff>114300</xdr:rowOff>
    </xdr:from>
    <xdr:to>
      <xdr:col>51</xdr:col>
      <xdr:colOff>166687</xdr:colOff>
      <xdr:row>42</xdr:row>
      <xdr:rowOff>28575</xdr:rowOff>
    </xdr:to>
    <xdr:graphicFrame macro="">
      <xdr:nvGraphicFramePr>
        <xdr:cNvPr id="9" name="Chart 8">
          <a:extLst>
            <a:ext uri="{FF2B5EF4-FFF2-40B4-BE49-F238E27FC236}">
              <a16:creationId xmlns:a16="http://schemas.microsoft.com/office/drawing/2014/main" id="{FF625756-38E3-04C5-EE04-2DD8A8043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56</xdr:col>
      <xdr:colOff>300037</xdr:colOff>
      <xdr:row>11</xdr:row>
      <xdr:rowOff>85725</xdr:rowOff>
    </xdr:from>
    <xdr:to>
      <xdr:col>64</xdr:col>
      <xdr:colOff>304800</xdr:colOff>
      <xdr:row>26</xdr:row>
      <xdr:rowOff>152399</xdr:rowOff>
    </xdr:to>
    <xdr:graphicFrame macro="">
      <xdr:nvGraphicFramePr>
        <xdr:cNvPr id="10" name="Chart 9">
          <a:extLst>
            <a:ext uri="{FF2B5EF4-FFF2-40B4-BE49-F238E27FC236}">
              <a16:creationId xmlns:a16="http://schemas.microsoft.com/office/drawing/2014/main" id="{C00347DD-6CE8-D8DD-4815-1CD399A1AB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2"/>
  <sheetViews>
    <sheetView topLeftCell="A175" workbookViewId="0">
      <selection activeCell="A176" sqref="A176:B176"/>
    </sheetView>
  </sheetViews>
  <sheetFormatPr defaultRowHeight="12.75"/>
  <cols>
    <col min="1" max="1" width="34" customWidth="1"/>
    <col min="2" max="2" width="76.83203125" customWidth="1"/>
  </cols>
  <sheetData>
    <row r="1" spans="1:4" ht="18" customHeight="1">
      <c r="A1" s="73" t="s">
        <v>0</v>
      </c>
      <c r="B1" s="73"/>
    </row>
    <row r="2" spans="1:4" ht="45.6" customHeight="1">
      <c r="A2" s="70" t="s">
        <v>1</v>
      </c>
      <c r="B2" s="70"/>
    </row>
    <row r="3" spans="1:4" ht="49.5" customHeight="1">
      <c r="A3" s="72" t="s">
        <v>2</v>
      </c>
      <c r="B3" s="72"/>
    </row>
    <row r="4" spans="1:4" ht="63" customHeight="1">
      <c r="A4" s="72" t="s">
        <v>3</v>
      </c>
      <c r="B4" s="72"/>
    </row>
    <row r="5" spans="1:4" ht="31.5" customHeight="1">
      <c r="A5" s="72" t="s">
        <v>4</v>
      </c>
      <c r="B5" s="72"/>
    </row>
    <row r="6" spans="1:4" ht="15.75" customHeight="1">
      <c r="A6" s="4">
        <f>AVERAGE(50,60,55,70)</f>
        <v>58.75</v>
      </c>
      <c r="B6" s="2"/>
    </row>
    <row r="7" spans="1:4" ht="23.25" customHeight="1">
      <c r="A7" s="71" t="s">
        <v>5</v>
      </c>
      <c r="B7" s="71"/>
    </row>
    <row r="8" spans="1:4" ht="19.5" customHeight="1">
      <c r="A8" s="6">
        <f>MEDIAN(50,60,55,70)</f>
        <v>57.5</v>
      </c>
      <c r="B8" s="3"/>
    </row>
    <row r="9" spans="1:4" ht="36" customHeight="1">
      <c r="A9" s="72" t="s">
        <v>6</v>
      </c>
      <c r="B9" s="72"/>
    </row>
    <row r="10" spans="1:4" ht="23.25" customHeight="1">
      <c r="A10" s="4" t="e">
        <f>MODE(50,60,55,70)</f>
        <v>#N/A</v>
      </c>
      <c r="B10" s="2"/>
    </row>
    <row r="11" spans="1:4" ht="64.5" customHeight="1">
      <c r="A11" s="71" t="s">
        <v>7</v>
      </c>
      <c r="B11" s="71"/>
    </row>
    <row r="12" spans="1:4" ht="31.5" customHeight="1">
      <c r="A12" s="70" t="s">
        <v>8</v>
      </c>
      <c r="B12" s="70"/>
    </row>
    <row r="13" spans="1:4" ht="38.25" customHeight="1">
      <c r="A13" s="72" t="s">
        <v>9</v>
      </c>
      <c r="B13" s="72"/>
    </row>
    <row r="14" spans="1:4" ht="30.75" customHeight="1">
      <c r="A14" s="72" t="s">
        <v>10</v>
      </c>
      <c r="B14" s="72"/>
    </row>
    <row r="15" spans="1:4" ht="32.25" customHeight="1">
      <c r="A15" s="72" t="s">
        <v>11</v>
      </c>
      <c r="B15" s="72"/>
      <c r="D15" t="s">
        <v>222</v>
      </c>
    </row>
    <row r="16" spans="1:4" ht="21.75" customHeight="1">
      <c r="A16" s="75">
        <f>AVERAGE(15, 10, 20, 25, 15, 10, 30, 20, 15, 10,
10, 25, 15, 20, 20, 15, 10, 10, 20, 25)</f>
        <v>17</v>
      </c>
      <c r="B16" s="75"/>
    </row>
    <row r="17" spans="1:3" ht="21" customHeight="1">
      <c r="A17" s="71" t="s">
        <v>12</v>
      </c>
      <c r="B17" s="71"/>
    </row>
    <row r="18" spans="1:3" ht="23.25" customHeight="1">
      <c r="A18" s="5"/>
      <c r="B18" s="76">
        <f>MEDIAN(15, 10, 20, 25, 15, 10, 30, 20, 15, 10,
10, 25, 15, 20, 20, 15, 10, 10, 20, 25)</f>
        <v>15</v>
      </c>
      <c r="C18" s="76"/>
    </row>
    <row r="19" spans="1:3" ht="37.5" customHeight="1">
      <c r="A19" s="72" t="s">
        <v>13</v>
      </c>
      <c r="B19" s="72"/>
    </row>
    <row r="20" spans="1:3" ht="24.75" customHeight="1">
      <c r="A20" s="7"/>
      <c r="B20" s="77">
        <f>MODE(15, 10, 20, 25, 15, 10, 30, 20, 15, 10,
10, 25, 15, 20, 20, 15, 10, 10, 20, 25)</f>
        <v>10</v>
      </c>
      <c r="C20" s="77"/>
    </row>
    <row r="21" spans="1:3" ht="64.5" customHeight="1">
      <c r="A21" s="71" t="s">
        <v>14</v>
      </c>
      <c r="B21" s="71"/>
    </row>
    <row r="22" spans="1:3" ht="45" customHeight="1">
      <c r="A22" s="70" t="s">
        <v>15</v>
      </c>
      <c r="B22" s="70"/>
    </row>
    <row r="23" spans="1:3" ht="48" customHeight="1">
      <c r="A23" s="72" t="s">
        <v>16</v>
      </c>
      <c r="B23" s="72"/>
    </row>
    <row r="24" spans="1:3" ht="68.25" customHeight="1">
      <c r="A24" s="74" t="s">
        <v>215</v>
      </c>
      <c r="B24" s="72"/>
    </row>
    <row r="25" spans="1:3" ht="45.6" customHeight="1">
      <c r="A25" s="72" t="s">
        <v>17</v>
      </c>
      <c r="B25" s="72"/>
    </row>
    <row r="26" spans="1:3" ht="53.25" customHeight="1">
      <c r="A26" s="71" t="s">
        <v>18</v>
      </c>
      <c r="B26" s="71"/>
    </row>
    <row r="27" spans="1:3" ht="148.5" customHeight="1">
      <c r="A27" s="72" t="s">
        <v>19</v>
      </c>
      <c r="B27" s="72"/>
    </row>
    <row r="28" spans="1:3" ht="74.25" customHeight="1">
      <c r="A28" s="71" t="s">
        <v>20</v>
      </c>
      <c r="B28" s="71"/>
    </row>
    <row r="29" spans="1:3" ht="31.5" customHeight="1">
      <c r="A29" s="73" t="s">
        <v>21</v>
      </c>
      <c r="B29" s="73"/>
    </row>
    <row r="30" spans="1:3" ht="42.75" customHeight="1">
      <c r="A30" s="78" t="s">
        <v>22</v>
      </c>
      <c r="B30" s="78"/>
    </row>
    <row r="31" spans="1:3" ht="66" customHeight="1">
      <c r="A31" s="72" t="s">
        <v>23</v>
      </c>
      <c r="B31" s="72"/>
    </row>
    <row r="32" spans="1:3" ht="147.75" customHeight="1">
      <c r="A32" s="79" t="s">
        <v>270</v>
      </c>
      <c r="B32" s="72"/>
    </row>
    <row r="33" spans="1:2" ht="33.75" customHeight="1">
      <c r="A33" s="72" t="s">
        <v>24</v>
      </c>
      <c r="B33" s="72"/>
    </row>
    <row r="34" spans="1:2" ht="31.5" customHeight="1">
      <c r="A34" s="71" t="s">
        <v>25</v>
      </c>
      <c r="B34" s="71"/>
    </row>
    <row r="35" spans="1:2" ht="43.5" customHeight="1">
      <c r="A35" s="72" t="s">
        <v>26</v>
      </c>
      <c r="B35" s="72"/>
    </row>
    <row r="36" spans="1:2" ht="44.25" customHeight="1">
      <c r="A36" s="71" t="s">
        <v>27</v>
      </c>
      <c r="B36" s="71"/>
    </row>
    <row r="37" spans="1:2" ht="39.75" customHeight="1">
      <c r="A37" s="78" t="s">
        <v>28</v>
      </c>
      <c r="B37" s="78"/>
    </row>
    <row r="38" spans="1:2" ht="61.5" customHeight="1">
      <c r="A38" s="72" t="s">
        <v>29</v>
      </c>
      <c r="B38" s="72"/>
    </row>
    <row r="39" spans="1:2" ht="78" customHeight="1">
      <c r="A39" s="71" t="s">
        <v>30</v>
      </c>
      <c r="B39" s="71"/>
    </row>
    <row r="40" spans="1:2" ht="51" customHeight="1">
      <c r="A40" s="72" t="s">
        <v>31</v>
      </c>
      <c r="B40" s="72"/>
    </row>
    <row r="41" spans="1:2" ht="36.75" customHeight="1">
      <c r="A41" s="72" t="s">
        <v>32</v>
      </c>
      <c r="B41" s="72"/>
    </row>
    <row r="42" spans="1:2" ht="82.5" customHeight="1">
      <c r="A42" s="71" t="s">
        <v>33</v>
      </c>
      <c r="B42" s="71"/>
    </row>
    <row r="43" spans="1:2" ht="30.75" customHeight="1">
      <c r="A43" s="71" t="s">
        <v>34</v>
      </c>
      <c r="B43" s="71"/>
    </row>
    <row r="44" spans="1:2" ht="15.75" customHeight="1">
      <c r="A44" s="71" t="s">
        <v>35</v>
      </c>
      <c r="B44" s="71"/>
    </row>
    <row r="45" spans="1:2" ht="34.5" customHeight="1">
      <c r="A45" s="70" t="s">
        <v>36</v>
      </c>
      <c r="B45" s="70"/>
    </row>
    <row r="46" spans="1:2" ht="77.25" customHeight="1">
      <c r="A46" s="72" t="s">
        <v>37</v>
      </c>
      <c r="B46" s="72"/>
    </row>
    <row r="47" spans="1:2" ht="98.25" customHeight="1">
      <c r="A47" s="72" t="s">
        <v>38</v>
      </c>
      <c r="B47" s="72"/>
    </row>
    <row r="48" spans="1:2" ht="15.75" customHeight="1">
      <c r="A48" s="72" t="s">
        <v>39</v>
      </c>
      <c r="B48" s="72"/>
    </row>
    <row r="49" spans="1:2" ht="47.25" customHeight="1">
      <c r="A49" s="71" t="s">
        <v>40</v>
      </c>
      <c r="B49" s="71"/>
    </row>
    <row r="50" spans="1:2" ht="61.5" customHeight="1">
      <c r="A50" s="71" t="s">
        <v>41</v>
      </c>
      <c r="B50" s="71"/>
    </row>
    <row r="51" spans="1:2" ht="54.75" customHeight="1">
      <c r="A51" s="71" t="s">
        <v>42</v>
      </c>
      <c r="B51" s="71"/>
    </row>
    <row r="52" spans="1:2" ht="31.5" customHeight="1">
      <c r="A52" s="78" t="s">
        <v>43</v>
      </c>
      <c r="B52" s="78"/>
    </row>
    <row r="53" spans="1:2" ht="41.25" customHeight="1">
      <c r="A53" s="72" t="s">
        <v>44</v>
      </c>
      <c r="B53" s="72"/>
    </row>
    <row r="54" spans="1:2" ht="83.25" customHeight="1">
      <c r="A54" s="71" t="s">
        <v>45</v>
      </c>
      <c r="B54" s="71"/>
    </row>
    <row r="55" spans="1:2" ht="66" customHeight="1">
      <c r="A55" s="72" t="s">
        <v>46</v>
      </c>
      <c r="B55" s="72"/>
    </row>
    <row r="56" spans="1:2" ht="60.75" customHeight="1">
      <c r="A56" s="71" t="s">
        <v>47</v>
      </c>
      <c r="B56" s="71"/>
    </row>
    <row r="57" spans="1:2" ht="45.6" customHeight="1">
      <c r="A57" s="78" t="s">
        <v>48</v>
      </c>
      <c r="B57" s="78"/>
    </row>
    <row r="58" spans="1:2" ht="59.25" customHeight="1">
      <c r="A58" s="72" t="s">
        <v>49</v>
      </c>
      <c r="B58" s="72"/>
    </row>
    <row r="59" spans="1:2" ht="152.25" customHeight="1">
      <c r="A59" s="72" t="s">
        <v>50</v>
      </c>
      <c r="B59" s="72"/>
    </row>
    <row r="60" spans="1:2" ht="105" customHeight="1">
      <c r="A60" s="72" t="s">
        <v>51</v>
      </c>
      <c r="B60" s="72"/>
    </row>
    <row r="61" spans="1:2" ht="53.25" customHeight="1">
      <c r="A61" s="71" t="s">
        <v>52</v>
      </c>
      <c r="B61" s="71"/>
    </row>
    <row r="62" spans="1:2" ht="33" customHeight="1">
      <c r="A62" s="78" t="s">
        <v>53</v>
      </c>
      <c r="B62" s="78"/>
    </row>
    <row r="63" spans="1:2" ht="36.75" customHeight="1">
      <c r="A63" s="72" t="s">
        <v>54</v>
      </c>
      <c r="B63" s="72"/>
    </row>
    <row r="64" spans="1:2" ht="82.5" customHeight="1">
      <c r="A64" s="72" t="s">
        <v>55</v>
      </c>
      <c r="B64" s="72"/>
    </row>
    <row r="65" spans="1:2" ht="62.25" customHeight="1">
      <c r="A65" s="72" t="s">
        <v>56</v>
      </c>
      <c r="B65" s="72"/>
    </row>
    <row r="66" spans="1:2" ht="24.75" customHeight="1">
      <c r="A66" s="71" t="s">
        <v>57</v>
      </c>
      <c r="B66" s="71"/>
    </row>
    <row r="67" spans="1:2" ht="59.25" customHeight="1">
      <c r="A67" s="78" t="s">
        <v>58</v>
      </c>
      <c r="B67" s="78"/>
    </row>
    <row r="68" spans="1:2" ht="31.5" customHeight="1">
      <c r="A68" s="72" t="s">
        <v>59</v>
      </c>
      <c r="B68" s="72"/>
    </row>
    <row r="69" spans="1:2" ht="160.5" customHeight="1">
      <c r="A69" s="79" t="s">
        <v>268</v>
      </c>
      <c r="B69" s="72"/>
    </row>
    <row r="70" spans="1:2" ht="76.5" customHeight="1">
      <c r="A70" s="72" t="s">
        <v>60</v>
      </c>
      <c r="B70" s="72"/>
    </row>
    <row r="71" spans="1:2" ht="168" customHeight="1">
      <c r="A71" s="71" t="s">
        <v>61</v>
      </c>
      <c r="B71" s="71"/>
    </row>
    <row r="72" spans="1:2" ht="107.25" customHeight="1">
      <c r="A72" s="71" t="s">
        <v>62</v>
      </c>
      <c r="B72" s="71"/>
    </row>
    <row r="73" spans="1:2" ht="60.75" customHeight="1">
      <c r="A73" s="73" t="s">
        <v>63</v>
      </c>
      <c r="B73" s="73"/>
    </row>
    <row r="74" spans="1:2" ht="55.5" customHeight="1">
      <c r="A74" s="78" t="s">
        <v>64</v>
      </c>
      <c r="B74" s="78"/>
    </row>
    <row r="75" spans="1:2" ht="48.75" customHeight="1">
      <c r="A75" s="72" t="s">
        <v>65</v>
      </c>
      <c r="B75" s="72"/>
    </row>
    <row r="76" spans="1:2" ht="167.25" customHeight="1">
      <c r="A76" s="72" t="s">
        <v>66</v>
      </c>
      <c r="B76" s="72"/>
    </row>
    <row r="77" spans="1:2" ht="99" customHeight="1">
      <c r="A77" s="72" t="s">
        <v>67</v>
      </c>
      <c r="B77" s="72"/>
    </row>
    <row r="78" spans="1:2" ht="90.75" customHeight="1">
      <c r="A78" s="71" t="s">
        <v>68</v>
      </c>
      <c r="B78" s="71"/>
    </row>
    <row r="79" spans="1:2" ht="45.6" customHeight="1">
      <c r="A79" s="78" t="s">
        <v>69</v>
      </c>
      <c r="B79" s="78"/>
    </row>
    <row r="80" spans="1:2" ht="57.75" customHeight="1">
      <c r="A80" s="72" t="s">
        <v>70</v>
      </c>
      <c r="B80" s="72"/>
    </row>
    <row r="81" spans="1:2" ht="60.75" customHeight="1">
      <c r="A81" s="72" t="s">
        <v>71</v>
      </c>
      <c r="B81" s="72"/>
    </row>
    <row r="82" spans="1:2" ht="80.25" customHeight="1">
      <c r="A82" s="72" t="s">
        <v>72</v>
      </c>
      <c r="B82" s="72"/>
    </row>
    <row r="83" spans="1:2" ht="81" customHeight="1">
      <c r="A83" s="71" t="s">
        <v>73</v>
      </c>
      <c r="B83" s="71"/>
    </row>
    <row r="84" spans="1:2" ht="31.5" customHeight="1">
      <c r="A84" s="78" t="s">
        <v>74</v>
      </c>
      <c r="B84" s="78"/>
    </row>
    <row r="85" spans="1:2" ht="57" customHeight="1">
      <c r="A85" s="72" t="s">
        <v>75</v>
      </c>
      <c r="B85" s="72"/>
    </row>
    <row r="86" spans="1:2" ht="164.25" customHeight="1">
      <c r="A86" s="72" t="s">
        <v>76</v>
      </c>
      <c r="B86" s="72"/>
    </row>
    <row r="87" spans="1:2" ht="76.5" customHeight="1">
      <c r="A87" s="72" t="s">
        <v>77</v>
      </c>
      <c r="B87" s="72"/>
    </row>
    <row r="88" spans="1:2" ht="53.25" customHeight="1">
      <c r="A88" s="71" t="s">
        <v>78</v>
      </c>
      <c r="B88" s="71"/>
    </row>
    <row r="89" spans="1:2" ht="45.6" customHeight="1">
      <c r="A89" s="78" t="s">
        <v>79</v>
      </c>
      <c r="B89" s="78"/>
    </row>
    <row r="90" spans="1:2" ht="39" customHeight="1">
      <c r="A90" s="72" t="s">
        <v>80</v>
      </c>
      <c r="B90" s="72"/>
    </row>
    <row r="91" spans="1:2" ht="84" customHeight="1">
      <c r="A91" s="79" t="s">
        <v>220</v>
      </c>
      <c r="B91" s="72"/>
    </row>
    <row r="92" spans="1:2" ht="107.25" customHeight="1">
      <c r="A92" s="72" t="s">
        <v>82</v>
      </c>
      <c r="B92" s="72"/>
    </row>
    <row r="93" spans="1:2" ht="89.25" customHeight="1">
      <c r="A93" s="71" t="s">
        <v>83</v>
      </c>
      <c r="B93" s="71"/>
    </row>
    <row r="94" spans="1:2" ht="76.5" customHeight="1">
      <c r="A94" s="78" t="s">
        <v>84</v>
      </c>
      <c r="B94" s="78"/>
    </row>
    <row r="95" spans="1:2" ht="46.5" customHeight="1">
      <c r="A95" s="72" t="s">
        <v>85</v>
      </c>
      <c r="B95" s="72"/>
    </row>
    <row r="96" spans="1:2" ht="141.75" customHeight="1">
      <c r="A96" s="72" t="s">
        <v>86</v>
      </c>
      <c r="B96" s="72"/>
    </row>
    <row r="97" spans="1:2" ht="155.25" customHeight="1">
      <c r="A97" s="72" t="s">
        <v>87</v>
      </c>
      <c r="B97" s="72"/>
    </row>
    <row r="98" spans="1:2" ht="82.5" customHeight="1">
      <c r="A98" s="72" t="s">
        <v>88</v>
      </c>
      <c r="B98" s="72"/>
    </row>
    <row r="99" spans="1:2" ht="76.5" customHeight="1">
      <c r="A99" s="71" t="s">
        <v>89</v>
      </c>
      <c r="B99" s="71"/>
    </row>
    <row r="100" spans="1:2" ht="45.6" customHeight="1">
      <c r="A100" s="78" t="s">
        <v>90</v>
      </c>
      <c r="B100" s="78"/>
    </row>
    <row r="101" spans="1:2" ht="47.25" customHeight="1">
      <c r="A101" s="72" t="s">
        <v>91</v>
      </c>
      <c r="B101" s="72"/>
    </row>
    <row r="102" spans="1:2" ht="202.5" customHeight="1">
      <c r="A102" s="79" t="s">
        <v>300</v>
      </c>
      <c r="B102" s="72"/>
    </row>
    <row r="103" spans="1:2" ht="210.75" customHeight="1">
      <c r="A103" s="72" t="s">
        <v>92</v>
      </c>
      <c r="B103" s="72"/>
    </row>
    <row r="104" spans="1:2" ht="57.75" customHeight="1">
      <c r="A104" s="71" t="s">
        <v>93</v>
      </c>
      <c r="B104" s="71"/>
    </row>
    <row r="105" spans="1:2" ht="63" customHeight="1">
      <c r="A105" s="78" t="s">
        <v>94</v>
      </c>
      <c r="B105" s="78"/>
    </row>
    <row r="106" spans="1:2" ht="79.5" customHeight="1">
      <c r="A106" s="72" t="s">
        <v>95</v>
      </c>
      <c r="B106" s="72"/>
    </row>
    <row r="107" spans="1:2" ht="31.5" customHeight="1">
      <c r="A107" s="72" t="s">
        <v>96</v>
      </c>
      <c r="B107" s="72"/>
    </row>
    <row r="108" spans="1:2" ht="31.5" customHeight="1">
      <c r="A108" s="71" t="s">
        <v>97</v>
      </c>
      <c r="B108" s="71"/>
    </row>
    <row r="109" spans="1:2" ht="87.75" customHeight="1">
      <c r="A109" s="72" t="s">
        <v>98</v>
      </c>
      <c r="B109" s="72"/>
    </row>
    <row r="110" spans="1:2" ht="90" customHeight="1">
      <c r="A110" s="71" t="s">
        <v>99</v>
      </c>
      <c r="B110" s="71"/>
    </row>
    <row r="111" spans="1:2" ht="90" customHeight="1">
      <c r="A111" s="71" t="s">
        <v>100</v>
      </c>
      <c r="B111" s="71"/>
    </row>
    <row r="112" spans="1:2" ht="66" customHeight="1">
      <c r="A112" s="73" t="s">
        <v>101</v>
      </c>
      <c r="B112" s="73"/>
    </row>
    <row r="113" spans="1:2" ht="45.6" customHeight="1">
      <c r="A113" s="78" t="s">
        <v>102</v>
      </c>
      <c r="B113" s="78"/>
    </row>
    <row r="114" spans="1:2" ht="48.75" customHeight="1">
      <c r="A114" s="72" t="s">
        <v>103</v>
      </c>
      <c r="B114" s="72"/>
    </row>
    <row r="115" spans="1:2" ht="102" customHeight="1">
      <c r="A115" s="72" t="s">
        <v>104</v>
      </c>
      <c r="B115" s="72"/>
    </row>
    <row r="116" spans="1:2" ht="84.75" customHeight="1">
      <c r="A116" s="72" t="s">
        <v>105</v>
      </c>
      <c r="B116" s="72"/>
    </row>
    <row r="117" spans="1:2" ht="86.25" customHeight="1">
      <c r="A117" s="71" t="s">
        <v>106</v>
      </c>
      <c r="B117" s="71"/>
    </row>
    <row r="118" spans="1:2" ht="58.5" customHeight="1">
      <c r="A118" s="78" t="s">
        <v>107</v>
      </c>
      <c r="B118" s="78"/>
    </row>
    <row r="119" spans="1:2" ht="50.25" customHeight="1">
      <c r="A119" s="72" t="s">
        <v>108</v>
      </c>
      <c r="B119" s="72"/>
    </row>
    <row r="120" spans="1:2" ht="44.25" customHeight="1">
      <c r="A120" s="79" t="s">
        <v>216</v>
      </c>
      <c r="B120" s="72"/>
    </row>
    <row r="121" spans="1:2" ht="153" customHeight="1">
      <c r="A121" s="79" t="s">
        <v>217</v>
      </c>
      <c r="B121" s="72"/>
    </row>
    <row r="122" spans="1:2" ht="126.75" customHeight="1">
      <c r="A122" s="72" t="s">
        <v>109</v>
      </c>
      <c r="B122" s="72"/>
    </row>
    <row r="123" spans="1:2" ht="61.5" customHeight="1">
      <c r="A123" s="71" t="s">
        <v>110</v>
      </c>
      <c r="B123" s="71"/>
    </row>
    <row r="124" spans="1:2" ht="83.25" customHeight="1">
      <c r="A124" s="78" t="s">
        <v>111</v>
      </c>
      <c r="B124" s="78"/>
    </row>
    <row r="125" spans="1:2" ht="31.5" customHeight="1">
      <c r="A125" s="72" t="s">
        <v>112</v>
      </c>
      <c r="B125" s="72"/>
    </row>
    <row r="126" spans="1:2" ht="48" customHeight="1">
      <c r="A126" s="72" t="s">
        <v>81</v>
      </c>
      <c r="B126" s="72"/>
    </row>
    <row r="127" spans="1:2" ht="23.25" customHeight="1">
      <c r="A127" s="72" t="s">
        <v>113</v>
      </c>
      <c r="B127" s="72"/>
    </row>
    <row r="128" spans="1:2" ht="162.75" customHeight="1">
      <c r="A128" s="72" t="s">
        <v>114</v>
      </c>
      <c r="B128" s="72"/>
    </row>
    <row r="129" spans="1:2" ht="93.75" customHeight="1">
      <c r="A129" s="71" t="s">
        <v>115</v>
      </c>
      <c r="B129" s="71"/>
    </row>
    <row r="130" spans="1:2" ht="64.5" customHeight="1">
      <c r="A130" s="78" t="s">
        <v>116</v>
      </c>
      <c r="B130" s="78"/>
    </row>
    <row r="131" spans="1:2" ht="45.75" customHeight="1">
      <c r="A131" s="72" t="s">
        <v>117</v>
      </c>
      <c r="B131" s="72"/>
    </row>
    <row r="132" spans="1:2" ht="54" customHeight="1">
      <c r="A132" s="80" t="s">
        <v>118</v>
      </c>
      <c r="B132" s="80"/>
    </row>
    <row r="133" spans="1:2" ht="153" customHeight="1">
      <c r="A133" s="72" t="s">
        <v>119</v>
      </c>
      <c r="B133" s="72"/>
    </row>
    <row r="134" spans="1:2" ht="90.75" customHeight="1">
      <c r="A134" s="72" t="s">
        <v>120</v>
      </c>
      <c r="B134" s="72"/>
    </row>
    <row r="135" spans="1:2" ht="54" customHeight="1">
      <c r="A135" s="71" t="s">
        <v>121</v>
      </c>
      <c r="B135" s="71"/>
    </row>
    <row r="136" spans="1:2" ht="69.75" customHeight="1">
      <c r="A136" s="78" t="s">
        <v>122</v>
      </c>
      <c r="B136" s="78"/>
    </row>
    <row r="137" spans="1:2" ht="31.5" customHeight="1">
      <c r="A137" s="72" t="s">
        <v>123</v>
      </c>
      <c r="B137" s="72"/>
    </row>
    <row r="138" spans="1:2" ht="45.6" customHeight="1">
      <c r="A138" s="72" t="s">
        <v>124</v>
      </c>
      <c r="B138" s="72"/>
    </row>
    <row r="139" spans="1:2" ht="47.25" customHeight="1">
      <c r="A139" s="72" t="s">
        <v>125</v>
      </c>
      <c r="B139" s="72"/>
    </row>
    <row r="140" spans="1:2" ht="171" customHeight="1">
      <c r="A140" s="72" t="s">
        <v>126</v>
      </c>
      <c r="B140" s="72"/>
    </row>
    <row r="141" spans="1:2" ht="106.5" customHeight="1">
      <c r="A141" s="71" t="s">
        <v>127</v>
      </c>
      <c r="B141" s="71"/>
    </row>
    <row r="142" spans="1:2" ht="62.25" customHeight="1">
      <c r="A142" s="73" t="s">
        <v>128</v>
      </c>
      <c r="B142" s="73"/>
    </row>
    <row r="143" spans="1:2" ht="36" customHeight="1">
      <c r="A143" s="78" t="s">
        <v>129</v>
      </c>
      <c r="B143" s="78"/>
    </row>
    <row r="144" spans="1:2" ht="38.25" customHeight="1">
      <c r="A144" s="72" t="s">
        <v>130</v>
      </c>
      <c r="B144" s="72"/>
    </row>
    <row r="145" spans="1:2" ht="114.75" customHeight="1">
      <c r="A145" s="72" t="s">
        <v>131</v>
      </c>
      <c r="B145" s="72"/>
    </row>
    <row r="146" spans="1:2" ht="126" customHeight="1">
      <c r="A146" s="72" t="s">
        <v>132</v>
      </c>
      <c r="B146" s="72"/>
    </row>
    <row r="147" spans="1:2" ht="112.5" customHeight="1">
      <c r="A147" s="71" t="s">
        <v>133</v>
      </c>
      <c r="B147" s="71"/>
    </row>
    <row r="148" spans="1:2" ht="64.5" customHeight="1">
      <c r="A148" s="78" t="s">
        <v>134</v>
      </c>
      <c r="B148" s="78"/>
    </row>
    <row r="149" spans="1:2" ht="48.75" customHeight="1">
      <c r="A149" s="72" t="s">
        <v>135</v>
      </c>
      <c r="B149" s="72"/>
    </row>
    <row r="150" spans="1:2" ht="50.25" customHeight="1">
      <c r="A150" s="79" t="s">
        <v>219</v>
      </c>
      <c r="B150" s="72"/>
    </row>
    <row r="151" spans="1:2" ht="37.5" customHeight="1">
      <c r="A151" s="79" t="s">
        <v>218</v>
      </c>
      <c r="B151" s="72"/>
    </row>
    <row r="152" spans="1:2" ht="170.25" customHeight="1">
      <c r="A152" s="72" t="s">
        <v>136</v>
      </c>
      <c r="B152" s="72"/>
    </row>
    <row r="153" spans="1:2" ht="119.25" customHeight="1">
      <c r="A153" s="71" t="s">
        <v>137</v>
      </c>
      <c r="B153" s="71"/>
    </row>
    <row r="154" spans="1:2" ht="69.75" customHeight="1">
      <c r="A154" s="72" t="s">
        <v>138</v>
      </c>
      <c r="B154" s="72"/>
    </row>
    <row r="155" spans="1:2" ht="47.25" customHeight="1">
      <c r="A155" s="78" t="s">
        <v>139</v>
      </c>
      <c r="B155" s="78"/>
    </row>
    <row r="156" spans="1:2" ht="40.5" customHeight="1">
      <c r="A156" s="72" t="s">
        <v>140</v>
      </c>
      <c r="B156" s="72"/>
    </row>
    <row r="157" spans="1:2" ht="65.25" customHeight="1">
      <c r="A157" s="72" t="s">
        <v>141</v>
      </c>
      <c r="B157" s="72"/>
    </row>
    <row r="158" spans="1:2" ht="131.25" customHeight="1">
      <c r="A158" s="72" t="s">
        <v>142</v>
      </c>
      <c r="B158" s="72"/>
    </row>
    <row r="159" spans="1:2" ht="117.75" customHeight="1">
      <c r="A159" s="71" t="s">
        <v>143</v>
      </c>
      <c r="B159" s="71"/>
    </row>
    <row r="160" spans="1:2" ht="69" customHeight="1">
      <c r="A160" s="78" t="s">
        <v>144</v>
      </c>
      <c r="B160" s="78"/>
    </row>
    <row r="161" spans="1:2" ht="31.5" customHeight="1">
      <c r="A161" s="72" t="s">
        <v>145</v>
      </c>
      <c r="B161" s="72"/>
    </row>
    <row r="162" spans="1:2" ht="36.75" customHeight="1">
      <c r="A162" s="72" t="s">
        <v>146</v>
      </c>
      <c r="B162" s="72"/>
    </row>
    <row r="163" spans="1:2" ht="198.75" customHeight="1">
      <c r="A163" s="72" t="s">
        <v>147</v>
      </c>
      <c r="B163" s="72"/>
    </row>
    <row r="164" spans="1:2" ht="61.5" customHeight="1">
      <c r="A164" s="72" t="s">
        <v>148</v>
      </c>
      <c r="B164" s="72"/>
    </row>
    <row r="165" spans="1:2" ht="72.75" customHeight="1">
      <c r="A165" s="71" t="s">
        <v>149</v>
      </c>
      <c r="B165" s="71"/>
    </row>
    <row r="166" spans="1:2" ht="72" customHeight="1">
      <c r="A166" s="78" t="s">
        <v>150</v>
      </c>
      <c r="B166" s="78"/>
    </row>
    <row r="167" spans="1:2" ht="45.6" customHeight="1">
      <c r="A167" s="72" t="s">
        <v>151</v>
      </c>
      <c r="B167" s="72"/>
    </row>
    <row r="168" spans="1:2" ht="45.6" customHeight="1">
      <c r="A168" s="72" t="s">
        <v>152</v>
      </c>
      <c r="B168" s="72"/>
    </row>
    <row r="169" spans="1:2" ht="57.75" customHeight="1">
      <c r="A169" s="72" t="s">
        <v>153</v>
      </c>
      <c r="B169" s="72"/>
    </row>
    <row r="170" spans="1:2" ht="43.5" customHeight="1">
      <c r="A170" s="72" t="s">
        <v>154</v>
      </c>
      <c r="B170" s="72"/>
    </row>
    <row r="171" spans="1:2" ht="61.5" customHeight="1">
      <c r="A171" s="71" t="s">
        <v>155</v>
      </c>
      <c r="B171" s="71"/>
    </row>
    <row r="172" spans="1:2" ht="75.75" customHeight="1">
      <c r="A172" s="73" t="s">
        <v>156</v>
      </c>
      <c r="B172" s="73"/>
    </row>
    <row r="173" spans="1:2" ht="45.6" customHeight="1">
      <c r="A173" s="70" t="s">
        <v>157</v>
      </c>
      <c r="B173" s="70"/>
    </row>
    <row r="174" spans="1:2" ht="54" customHeight="1">
      <c r="A174" s="72" t="s">
        <v>158</v>
      </c>
      <c r="B174" s="72"/>
    </row>
    <row r="175" spans="1:2" ht="32.25" customHeight="1">
      <c r="A175" s="72" t="s">
        <v>159</v>
      </c>
      <c r="B175" s="72"/>
    </row>
    <row r="176" spans="1:2" ht="114.75" customHeight="1">
      <c r="A176" s="72" t="s">
        <v>160</v>
      </c>
      <c r="B176" s="72"/>
    </row>
    <row r="177" spans="1:2" ht="83.25" customHeight="1">
      <c r="A177" s="71" t="s">
        <v>161</v>
      </c>
      <c r="B177" s="71"/>
    </row>
    <row r="178" spans="1:2" ht="45.6" customHeight="1">
      <c r="A178" s="78" t="s">
        <v>162</v>
      </c>
      <c r="B178" s="78"/>
    </row>
    <row r="179" spans="1:2" ht="63" customHeight="1">
      <c r="A179" s="72" t="s">
        <v>163</v>
      </c>
      <c r="B179" s="72"/>
    </row>
    <row r="180" spans="1:2" ht="61.5" customHeight="1">
      <c r="A180" s="72" t="s">
        <v>164</v>
      </c>
      <c r="B180" s="72"/>
    </row>
    <row r="181" spans="1:2" ht="73.5" customHeight="1">
      <c r="A181" s="72" t="s">
        <v>165</v>
      </c>
      <c r="B181" s="72"/>
    </row>
    <row r="182" spans="1:2" ht="81" customHeight="1">
      <c r="A182" s="71" t="s">
        <v>166</v>
      </c>
      <c r="B182" s="71"/>
    </row>
    <row r="183" spans="1:2" ht="17.25" customHeight="1">
      <c r="A183" s="78" t="s">
        <v>167</v>
      </c>
      <c r="B183" s="78"/>
    </row>
    <row r="184" spans="1:2" ht="49.7" customHeight="1">
      <c r="A184" s="72" t="s">
        <v>168</v>
      </c>
      <c r="B184" s="72"/>
    </row>
    <row r="185" spans="1:2" ht="65.25" customHeight="1">
      <c r="A185" s="72" t="s">
        <v>169</v>
      </c>
      <c r="B185" s="72"/>
    </row>
    <row r="186" spans="1:2" ht="66.95" customHeight="1">
      <c r="A186" s="72" t="s">
        <v>170</v>
      </c>
      <c r="B186" s="72"/>
    </row>
    <row r="187" spans="1:2" ht="73.5" customHeight="1">
      <c r="A187" s="71" t="s">
        <v>171</v>
      </c>
      <c r="B187" s="71"/>
    </row>
    <row r="188" spans="1:2" ht="55.5" customHeight="1">
      <c r="A188" s="73" t="s">
        <v>172</v>
      </c>
      <c r="B188" s="73"/>
    </row>
    <row r="189" spans="1:2" ht="52.5" customHeight="1">
      <c r="A189" s="81" t="s">
        <v>173</v>
      </c>
      <c r="B189" s="81"/>
    </row>
    <row r="190" spans="1:2" ht="28.5" customHeight="1">
      <c r="A190" s="81" t="s">
        <v>174</v>
      </c>
      <c r="B190" s="81"/>
    </row>
    <row r="191" spans="1:2" ht="94.5" customHeight="1">
      <c r="A191" s="81" t="s">
        <v>175</v>
      </c>
      <c r="B191" s="81"/>
    </row>
    <row r="192" spans="1:2" ht="68.25" customHeight="1">
      <c r="A192" s="81" t="s">
        <v>176</v>
      </c>
      <c r="B192" s="81"/>
    </row>
    <row r="193" spans="1:2" ht="78" customHeight="1">
      <c r="A193" s="81" t="s">
        <v>177</v>
      </c>
      <c r="B193" s="81"/>
    </row>
    <row r="194" spans="1:2" ht="40.5" customHeight="1">
      <c r="A194" s="81" t="s">
        <v>178</v>
      </c>
      <c r="B194" s="81"/>
    </row>
    <row r="195" spans="1:2" ht="79.5" customHeight="1">
      <c r="A195" s="81" t="s">
        <v>179</v>
      </c>
      <c r="B195" s="81"/>
    </row>
    <row r="196" spans="1:2" ht="55.5" customHeight="1">
      <c r="A196" s="81" t="s">
        <v>180</v>
      </c>
      <c r="B196" s="81"/>
    </row>
    <row r="197" spans="1:2" ht="32.25" customHeight="1">
      <c r="A197" s="81" t="s">
        <v>181</v>
      </c>
      <c r="B197" s="81"/>
    </row>
    <row r="198" spans="1:2" ht="30" customHeight="1">
      <c r="A198" s="82" t="s">
        <v>182</v>
      </c>
      <c r="B198" s="82"/>
    </row>
    <row r="199" spans="1:2" ht="66.95" customHeight="1">
      <c r="A199" s="81" t="s">
        <v>183</v>
      </c>
      <c r="B199" s="81"/>
    </row>
    <row r="200" spans="1:2" ht="66.95" customHeight="1">
      <c r="A200" s="81" t="s">
        <v>184</v>
      </c>
      <c r="B200" s="81"/>
    </row>
    <row r="201" spans="1:2" ht="72" customHeight="1">
      <c r="A201" s="81" t="s">
        <v>185</v>
      </c>
      <c r="B201" s="81"/>
    </row>
    <row r="202" spans="1:2" ht="74.25" customHeight="1">
      <c r="A202" s="83" t="s">
        <v>186</v>
      </c>
      <c r="B202" s="83"/>
    </row>
    <row r="203" spans="1:2" ht="66.95" customHeight="1">
      <c r="A203" s="81" t="s">
        <v>187</v>
      </c>
      <c r="B203" s="81"/>
    </row>
    <row r="204" spans="1:2" ht="90" customHeight="1">
      <c r="A204" s="81" t="s">
        <v>188</v>
      </c>
      <c r="B204" s="81"/>
    </row>
    <row r="205" spans="1:2" ht="30" customHeight="1">
      <c r="A205" s="82" t="s">
        <v>189</v>
      </c>
      <c r="B205" s="82"/>
    </row>
    <row r="206" spans="1:2" ht="86.25" customHeight="1">
      <c r="A206" s="81" t="s">
        <v>190</v>
      </c>
      <c r="B206" s="81"/>
    </row>
    <row r="207" spans="1:2" ht="66.95" customHeight="1">
      <c r="A207" s="82" t="s">
        <v>191</v>
      </c>
      <c r="B207" s="82"/>
    </row>
    <row r="208" spans="1:2" ht="66.95" customHeight="1">
      <c r="A208" s="81" t="s">
        <v>192</v>
      </c>
      <c r="B208" s="81"/>
    </row>
    <row r="209" spans="1:2" ht="59.25" customHeight="1">
      <c r="A209" s="82" t="s">
        <v>193</v>
      </c>
      <c r="B209" s="82"/>
    </row>
    <row r="210" spans="1:2" ht="17.25" customHeight="1">
      <c r="A210" s="81" t="s">
        <v>194</v>
      </c>
      <c r="B210" s="81"/>
    </row>
    <row r="211" spans="1:2" ht="27" customHeight="1">
      <c r="A211" s="81" t="s">
        <v>195</v>
      </c>
      <c r="B211" s="81"/>
    </row>
    <row r="212" spans="1:2" ht="100.5" customHeight="1">
      <c r="A212" s="82" t="s">
        <v>196</v>
      </c>
      <c r="B212" s="82"/>
    </row>
    <row r="213" spans="1:2" ht="84.6" customHeight="1">
      <c r="A213" s="81" t="s">
        <v>197</v>
      </c>
      <c r="B213" s="81"/>
    </row>
    <row r="214" spans="1:2" ht="84.6" customHeight="1">
      <c r="A214" s="82" t="s">
        <v>198</v>
      </c>
      <c r="B214" s="82"/>
    </row>
    <row r="215" spans="1:2" ht="79.5" customHeight="1">
      <c r="A215" s="83" t="s">
        <v>199</v>
      </c>
      <c r="B215" s="83"/>
    </row>
    <row r="216" spans="1:2" ht="32.25" customHeight="1">
      <c r="A216" s="81" t="s">
        <v>200</v>
      </c>
      <c r="B216" s="81"/>
    </row>
    <row r="217" spans="1:2" ht="99" customHeight="1">
      <c r="A217" s="81" t="s">
        <v>201</v>
      </c>
      <c r="B217" s="81"/>
    </row>
    <row r="218" spans="1:2" ht="44.25" customHeight="1">
      <c r="A218" s="82" t="s">
        <v>202</v>
      </c>
      <c r="B218" s="82"/>
    </row>
    <row r="219" spans="1:2" ht="51" customHeight="1">
      <c r="A219" s="81" t="s">
        <v>203</v>
      </c>
      <c r="B219" s="81"/>
    </row>
    <row r="220" spans="1:2" ht="127.5" customHeight="1">
      <c r="A220" s="82" t="s">
        <v>204</v>
      </c>
      <c r="B220" s="82"/>
    </row>
    <row r="221" spans="1:2" ht="71.25" customHeight="1">
      <c r="A221" s="81" t="s">
        <v>205</v>
      </c>
      <c r="B221" s="81"/>
    </row>
    <row r="222" spans="1:2" ht="55.5" customHeight="1">
      <c r="A222" s="81" t="s">
        <v>206</v>
      </c>
      <c r="B222" s="81"/>
    </row>
    <row r="223" spans="1:2" ht="118.5" customHeight="1">
      <c r="A223" s="81" t="s">
        <v>207</v>
      </c>
      <c r="B223" s="81"/>
    </row>
    <row r="224" spans="1:2" ht="150" customHeight="1">
      <c r="A224" s="81" t="s">
        <v>208</v>
      </c>
      <c r="B224" s="81"/>
    </row>
    <row r="225" spans="1:2" ht="171" customHeight="1">
      <c r="A225" s="81" t="s">
        <v>209</v>
      </c>
      <c r="B225" s="81"/>
    </row>
    <row r="226" spans="1:2" ht="0.75" hidden="1" customHeight="1">
      <c r="A226" s="82" t="s">
        <v>210</v>
      </c>
      <c r="B226" s="82"/>
    </row>
    <row r="227" spans="1:2" ht="24" hidden="1" customHeight="1">
      <c r="A227" s="84" t="s">
        <v>211</v>
      </c>
      <c r="B227" s="84"/>
    </row>
    <row r="228" spans="1:2" ht="362.1" customHeight="1">
      <c r="A228" s="84" t="s">
        <v>212</v>
      </c>
      <c r="B228" s="84"/>
    </row>
    <row r="229" spans="1:2" ht="408.95" customHeight="1">
      <c r="A229" s="84" t="s">
        <v>213</v>
      </c>
      <c r="B229" s="84"/>
    </row>
    <row r="230" spans="1:2" ht="143.25" customHeight="1">
      <c r="A230" s="85" t="s">
        <v>221</v>
      </c>
      <c r="B230" s="84"/>
    </row>
    <row r="231" spans="1:2" ht="187.35" customHeight="1">
      <c r="A231" s="86" t="s">
        <v>214</v>
      </c>
      <c r="B231" s="86"/>
    </row>
    <row r="232" spans="1:2" ht="408.95" customHeight="1">
      <c r="A232" s="87"/>
      <c r="B232" s="87"/>
    </row>
    <row r="233" spans="1:2" ht="267" customHeight="1"/>
    <row r="234" spans="1:2" ht="36" customHeight="1"/>
    <row r="235" spans="1:2" ht="25.5" customHeight="1">
      <c r="A235" s="87"/>
      <c r="B235" s="87"/>
    </row>
    <row r="236" spans="1:2" ht="36" customHeight="1">
      <c r="A236" s="87"/>
      <c r="B236" s="87"/>
    </row>
    <row r="237" spans="1:2" ht="18" customHeight="1">
      <c r="A237" s="87"/>
      <c r="B237" s="87"/>
    </row>
    <row r="238" spans="1:2" ht="36" customHeight="1">
      <c r="A238" s="87"/>
      <c r="B238" s="87"/>
    </row>
    <row r="239" spans="1:2" ht="18" customHeight="1">
      <c r="A239" s="87"/>
      <c r="B239" s="87"/>
    </row>
    <row r="240" spans="1:2" ht="36" customHeight="1">
      <c r="A240" s="88"/>
      <c r="B240" s="88"/>
    </row>
    <row r="241" spans="1:2" ht="18" customHeight="1">
      <c r="A241" s="89"/>
      <c r="B241" s="89"/>
    </row>
    <row r="242" spans="1:2" ht="36" customHeight="1">
      <c r="A242" s="81"/>
      <c r="B242" s="81"/>
    </row>
    <row r="243" spans="1:2" ht="18" customHeight="1">
      <c r="A243" s="90"/>
      <c r="B243" s="90"/>
    </row>
    <row r="244" spans="1:2" ht="18" customHeight="1">
      <c r="A244" s="84"/>
      <c r="B244" s="84"/>
    </row>
    <row r="245" spans="1:2" ht="36" customHeight="1">
      <c r="A245" s="90"/>
      <c r="B245" s="90"/>
    </row>
    <row r="246" spans="1:2" ht="18" customHeight="1">
      <c r="A246" s="84"/>
      <c r="B246" s="84"/>
    </row>
    <row r="247" spans="1:2" ht="36" customHeight="1">
      <c r="A247" s="90"/>
      <c r="B247" s="90"/>
    </row>
    <row r="248" spans="1:2" ht="36" customHeight="1">
      <c r="A248" s="84"/>
      <c r="B248" s="84"/>
    </row>
    <row r="249" spans="1:2" ht="36" customHeight="1">
      <c r="A249" s="90"/>
      <c r="B249" s="90"/>
    </row>
    <row r="250" spans="1:2" ht="18" customHeight="1">
      <c r="A250" s="90"/>
      <c r="B250" s="90"/>
    </row>
    <row r="251" spans="1:2" ht="18" customHeight="1">
      <c r="A251" s="84"/>
      <c r="B251" s="84"/>
    </row>
    <row r="252" spans="1:2" ht="36" customHeight="1">
      <c r="A252" s="90"/>
      <c r="B252" s="90"/>
    </row>
    <row r="253" spans="1:2" ht="36" customHeight="1">
      <c r="A253" s="84"/>
      <c r="B253" s="84"/>
    </row>
    <row r="254" spans="1:2" ht="45.6" customHeight="1">
      <c r="A254" s="81"/>
      <c r="B254" s="81"/>
    </row>
    <row r="255" spans="1:2" ht="36" customHeight="1">
      <c r="A255" s="84"/>
      <c r="B255" s="84"/>
    </row>
    <row r="256" spans="1:2" ht="18" customHeight="1">
      <c r="A256" s="90"/>
      <c r="B256" s="90"/>
    </row>
    <row r="257" spans="1:2" ht="36" customHeight="1">
      <c r="A257" s="90"/>
      <c r="B257" s="90"/>
    </row>
    <row r="258" spans="1:2" ht="36" customHeight="1">
      <c r="A258" s="84"/>
      <c r="B258" s="84"/>
    </row>
    <row r="259" spans="1:2" ht="36" customHeight="1">
      <c r="A259" s="84"/>
      <c r="B259" s="84"/>
    </row>
    <row r="260" spans="1:2" ht="18" customHeight="1">
      <c r="A260" s="90"/>
      <c r="B260" s="90"/>
    </row>
    <row r="261" spans="1:2" ht="18" customHeight="1">
      <c r="A261" s="84"/>
      <c r="B261" s="84"/>
    </row>
    <row r="262" spans="1:2" ht="63.2" customHeight="1">
      <c r="A262" s="90"/>
      <c r="B262" s="90"/>
    </row>
    <row r="263" spans="1:2" ht="45.6" customHeight="1">
      <c r="A263" s="84"/>
      <c r="B263" s="84"/>
    </row>
    <row r="264" spans="1:2" ht="45.6" customHeight="1">
      <c r="A264" s="84"/>
      <c r="B264" s="84"/>
    </row>
    <row r="265" spans="1:2" ht="45.6" customHeight="1">
      <c r="A265" s="84"/>
      <c r="B265" s="84"/>
    </row>
    <row r="266" spans="1:2" ht="61.5" customHeight="1">
      <c r="A266" s="90"/>
      <c r="B266" s="90"/>
    </row>
    <row r="267" spans="1:2" ht="36" customHeight="1">
      <c r="A267" s="90"/>
      <c r="B267" s="90"/>
    </row>
    <row r="268" spans="1:2" ht="18" customHeight="1">
      <c r="A268" s="84"/>
      <c r="B268" s="84"/>
    </row>
    <row r="269" spans="1:2" ht="18" customHeight="1">
      <c r="A269" s="90"/>
      <c r="B269" s="90"/>
    </row>
    <row r="270" spans="1:2" ht="36" customHeight="1">
      <c r="A270" s="90"/>
      <c r="B270" s="90"/>
    </row>
    <row r="271" spans="1:2" ht="45.6" customHeight="1">
      <c r="A271" s="90"/>
      <c r="B271" s="90"/>
    </row>
    <row r="272" spans="1:2" ht="18" customHeight="1">
      <c r="A272" s="90"/>
      <c r="B272" s="90"/>
    </row>
    <row r="273" spans="1:2" ht="36" customHeight="1">
      <c r="A273" s="84"/>
      <c r="B273" s="84"/>
    </row>
    <row r="274" spans="1:2" ht="18" customHeight="1">
      <c r="A274" s="90"/>
      <c r="B274" s="90"/>
    </row>
    <row r="275" spans="1:2" ht="18" customHeight="1">
      <c r="A275" s="90"/>
      <c r="B275" s="90"/>
    </row>
    <row r="276" spans="1:2" ht="79.349999999999994" customHeight="1">
      <c r="A276" s="84"/>
      <c r="B276" s="84"/>
    </row>
    <row r="277" spans="1:2" ht="36" customHeight="1">
      <c r="A277" s="90"/>
      <c r="B277" s="90"/>
    </row>
    <row r="278" spans="1:2" ht="36" customHeight="1">
      <c r="A278" s="90"/>
      <c r="B278" s="90"/>
    </row>
    <row r="279" spans="1:2" ht="36" customHeight="1">
      <c r="A279" s="84"/>
      <c r="B279" s="84"/>
    </row>
    <row r="280" spans="1:2" ht="36" customHeight="1">
      <c r="A280" s="90"/>
      <c r="B280" s="90"/>
    </row>
    <row r="281" spans="1:2" ht="36" customHeight="1">
      <c r="A281" s="90"/>
      <c r="B281" s="90"/>
    </row>
    <row r="282" spans="1:2" ht="36" customHeight="1">
      <c r="A282" s="81"/>
      <c r="B282" s="81"/>
    </row>
    <row r="283" spans="1:2" ht="36" customHeight="1">
      <c r="A283" s="84"/>
      <c r="B283" s="84"/>
    </row>
    <row r="284" spans="1:2" ht="45.6" customHeight="1">
      <c r="A284" s="84"/>
      <c r="B284" s="84"/>
    </row>
    <row r="285" spans="1:2" ht="47.1" customHeight="1">
      <c r="A285" s="84"/>
      <c r="B285" s="84"/>
    </row>
    <row r="286" spans="1:2" ht="36" customHeight="1">
      <c r="A286" s="84"/>
      <c r="B286" s="84"/>
    </row>
    <row r="287" spans="1:2" ht="36" customHeight="1">
      <c r="A287" s="84"/>
      <c r="B287" s="84"/>
    </row>
    <row r="288" spans="1:2" ht="18" customHeight="1">
      <c r="A288" s="84"/>
      <c r="B288" s="84"/>
    </row>
    <row r="289" spans="1:2" ht="45.6" customHeight="1">
      <c r="A289" s="84"/>
      <c r="B289" s="84"/>
    </row>
    <row r="290" spans="1:2" ht="45.6" customHeight="1">
      <c r="A290" s="90"/>
      <c r="B290" s="90"/>
    </row>
    <row r="291" spans="1:2" ht="18" customHeight="1">
      <c r="A291" s="84"/>
      <c r="B291" s="84"/>
    </row>
    <row r="292" spans="1:2" ht="36" customHeight="1">
      <c r="A292" s="84"/>
      <c r="B292" s="84"/>
    </row>
    <row r="293" spans="1:2" ht="18" customHeight="1">
      <c r="A293" s="84"/>
      <c r="B293" s="84"/>
    </row>
    <row r="294" spans="1:2" ht="36" customHeight="1">
      <c r="A294" s="90"/>
      <c r="B294" s="90"/>
    </row>
    <row r="295" spans="1:2" ht="45.6" customHeight="1">
      <c r="A295" s="84"/>
      <c r="B295" s="84"/>
    </row>
    <row r="296" spans="1:2" ht="47.1" customHeight="1">
      <c r="A296" s="84"/>
      <c r="B296" s="84"/>
    </row>
    <row r="297" spans="1:2" ht="36" customHeight="1">
      <c r="A297" s="90"/>
      <c r="B297" s="90"/>
    </row>
    <row r="298" spans="1:2" ht="36" customHeight="1">
      <c r="A298" s="84"/>
      <c r="B298" s="84"/>
    </row>
    <row r="299" spans="1:2" ht="36" customHeight="1">
      <c r="A299" s="90"/>
      <c r="B299" s="90"/>
    </row>
    <row r="300" spans="1:2" ht="18" customHeight="1">
      <c r="A300" s="84"/>
      <c r="B300" s="84"/>
    </row>
    <row r="301" spans="1:2" ht="36" customHeight="1">
      <c r="A301" s="90"/>
      <c r="B301" s="90"/>
    </row>
    <row r="302" spans="1:2" ht="45.6" customHeight="1">
      <c r="A302" s="84"/>
      <c r="B302" s="84"/>
    </row>
    <row r="303" spans="1:2" ht="36" customHeight="1">
      <c r="A303" s="84"/>
      <c r="B303" s="84"/>
    </row>
    <row r="304" spans="1:2" ht="61.5" customHeight="1">
      <c r="A304" s="84"/>
      <c r="B304" s="84"/>
    </row>
    <row r="305" spans="1:2" ht="36" customHeight="1">
      <c r="A305" s="84"/>
      <c r="B305" s="84"/>
    </row>
    <row r="306" spans="1:2" ht="36" customHeight="1">
      <c r="A306" s="90"/>
      <c r="B306" s="90"/>
    </row>
    <row r="307" spans="1:2" ht="36" customHeight="1">
      <c r="A307" s="84"/>
      <c r="B307" s="84"/>
    </row>
    <row r="308" spans="1:2" ht="176.1" customHeight="1">
      <c r="A308" s="90"/>
      <c r="B308" s="90"/>
    </row>
    <row r="309" spans="1:2" ht="36" customHeight="1">
      <c r="A309" s="84"/>
      <c r="B309" s="84"/>
    </row>
    <row r="310" spans="1:2" ht="36" customHeight="1">
      <c r="A310" s="90"/>
      <c r="B310" s="90"/>
    </row>
    <row r="311" spans="1:2" ht="18" customHeight="1">
      <c r="A311" s="84"/>
      <c r="B311" s="84"/>
    </row>
    <row r="312" spans="1:2" ht="18" customHeight="1">
      <c r="A312" s="84"/>
      <c r="B312" s="84"/>
    </row>
    <row r="313" spans="1:2" ht="18" customHeight="1">
      <c r="A313" s="84"/>
      <c r="B313" s="84"/>
    </row>
    <row r="314" spans="1:2" ht="18" customHeight="1">
      <c r="A314" s="84"/>
      <c r="B314" s="84"/>
    </row>
    <row r="315" spans="1:2" ht="36" customHeight="1">
      <c r="A315" s="84"/>
      <c r="B315" s="84"/>
    </row>
    <row r="316" spans="1:2" ht="54" customHeight="1">
      <c r="A316" s="84"/>
      <c r="B316" s="84"/>
    </row>
    <row r="317" spans="1:2" ht="25.5" customHeight="1">
      <c r="A317" s="90"/>
      <c r="B317" s="90"/>
    </row>
    <row r="318" spans="1:2" ht="24" customHeight="1">
      <c r="A318" s="90"/>
      <c r="B318" s="90"/>
    </row>
    <row r="319" spans="1:2" ht="408.95" customHeight="1">
      <c r="A319" s="90"/>
      <c r="B319" s="90"/>
    </row>
    <row r="320" spans="1:2" ht="203.85" customHeight="1">
      <c r="A320" s="90"/>
      <c r="B320" s="90"/>
    </row>
    <row r="321" spans="1:2" ht="408.95" customHeight="1">
      <c r="A321" s="84"/>
      <c r="B321" s="84"/>
    </row>
    <row r="322" spans="1:2" ht="282.75" customHeight="1">
      <c r="A322" s="84"/>
      <c r="B322" s="84"/>
    </row>
    <row r="323" spans="1:2" ht="408.95" customHeight="1">
      <c r="A323" s="91"/>
      <c r="B323" s="91"/>
    </row>
    <row r="324" spans="1:2" ht="282.75" customHeight="1">
      <c r="A324" s="1"/>
    </row>
    <row r="325" spans="1:2" ht="408.95" customHeight="1">
      <c r="A325" s="87"/>
      <c r="B325" s="87"/>
    </row>
    <row r="326" spans="1:2" ht="282.75" customHeight="1">
      <c r="A326" s="87"/>
      <c r="B326" s="87"/>
    </row>
    <row r="327" spans="1:2">
      <c r="A327" s="87"/>
      <c r="B327" s="87"/>
    </row>
    <row r="328" spans="1:2">
      <c r="A328" s="87"/>
      <c r="B328" s="87"/>
    </row>
    <row r="329" spans="1:2">
      <c r="A329" s="87"/>
      <c r="B329" s="87"/>
    </row>
    <row r="330" spans="1:2">
      <c r="A330" s="87"/>
      <c r="B330" s="87"/>
    </row>
    <row r="331" spans="1:2">
      <c r="A331" s="87"/>
      <c r="B331" s="87"/>
    </row>
    <row r="332" spans="1:2">
      <c r="A332" s="87"/>
      <c r="B332" s="87"/>
    </row>
  </sheetData>
  <mergeCells count="320">
    <mergeCell ref="A329:B330"/>
    <mergeCell ref="A331:B332"/>
    <mergeCell ref="A317:B317"/>
    <mergeCell ref="A318:B318"/>
    <mergeCell ref="A319:B319"/>
    <mergeCell ref="A320:B320"/>
    <mergeCell ref="A321:B321"/>
    <mergeCell ref="A322:B322"/>
    <mergeCell ref="A323:B323"/>
    <mergeCell ref="A325:B326"/>
    <mergeCell ref="A327:B328"/>
    <mergeCell ref="A308:B308"/>
    <mergeCell ref="A309:B309"/>
    <mergeCell ref="A310:B310"/>
    <mergeCell ref="A311:B311"/>
    <mergeCell ref="A312:B312"/>
    <mergeCell ref="A313:B313"/>
    <mergeCell ref="A314:B314"/>
    <mergeCell ref="A315:B315"/>
    <mergeCell ref="A316:B316"/>
    <mergeCell ref="A299:B299"/>
    <mergeCell ref="A300:B300"/>
    <mergeCell ref="A301:B301"/>
    <mergeCell ref="A302:B302"/>
    <mergeCell ref="A303:B303"/>
    <mergeCell ref="A304:B304"/>
    <mergeCell ref="A305:B305"/>
    <mergeCell ref="A306:B306"/>
    <mergeCell ref="A307:B307"/>
    <mergeCell ref="A290:B290"/>
    <mergeCell ref="A291:B291"/>
    <mergeCell ref="A292:B292"/>
    <mergeCell ref="A293:B293"/>
    <mergeCell ref="A294:B294"/>
    <mergeCell ref="A295:B295"/>
    <mergeCell ref="A296:B296"/>
    <mergeCell ref="A297:B297"/>
    <mergeCell ref="A298:B298"/>
    <mergeCell ref="A281:B281"/>
    <mergeCell ref="A282:B282"/>
    <mergeCell ref="A283:B283"/>
    <mergeCell ref="A284:B284"/>
    <mergeCell ref="A285:B285"/>
    <mergeCell ref="A286:B286"/>
    <mergeCell ref="A287:B287"/>
    <mergeCell ref="A288:B288"/>
    <mergeCell ref="A289:B289"/>
    <mergeCell ref="A272:B272"/>
    <mergeCell ref="A273:B273"/>
    <mergeCell ref="A274:B274"/>
    <mergeCell ref="A275:B275"/>
    <mergeCell ref="A276:B276"/>
    <mergeCell ref="A277:B277"/>
    <mergeCell ref="A278:B278"/>
    <mergeCell ref="A279:B279"/>
    <mergeCell ref="A280:B280"/>
    <mergeCell ref="A263:B263"/>
    <mergeCell ref="A264:B264"/>
    <mergeCell ref="A265:B265"/>
    <mergeCell ref="A266:B266"/>
    <mergeCell ref="A267:B267"/>
    <mergeCell ref="A268:B268"/>
    <mergeCell ref="A269:B269"/>
    <mergeCell ref="A270:B270"/>
    <mergeCell ref="A271:B271"/>
    <mergeCell ref="A254:B254"/>
    <mergeCell ref="A255:B255"/>
    <mergeCell ref="A256:B256"/>
    <mergeCell ref="A257:B257"/>
    <mergeCell ref="A258:B258"/>
    <mergeCell ref="A259:B259"/>
    <mergeCell ref="A260:B260"/>
    <mergeCell ref="A261:B261"/>
    <mergeCell ref="A262:B262"/>
    <mergeCell ref="A245:B245"/>
    <mergeCell ref="A246:B246"/>
    <mergeCell ref="A247:B247"/>
    <mergeCell ref="A248:B248"/>
    <mergeCell ref="A249:B249"/>
    <mergeCell ref="A250:B250"/>
    <mergeCell ref="A251:B251"/>
    <mergeCell ref="A252:B252"/>
    <mergeCell ref="A253:B253"/>
    <mergeCell ref="A232:B232"/>
    <mergeCell ref="A235:B236"/>
    <mergeCell ref="A237:B237"/>
    <mergeCell ref="A238:B239"/>
    <mergeCell ref="A240:B240"/>
    <mergeCell ref="A241:B241"/>
    <mergeCell ref="A242:B242"/>
    <mergeCell ref="A243:B243"/>
    <mergeCell ref="A244:B244"/>
    <mergeCell ref="A223:B223"/>
    <mergeCell ref="A224:B224"/>
    <mergeCell ref="A225:B225"/>
    <mergeCell ref="A226:B226"/>
    <mergeCell ref="A227:B227"/>
    <mergeCell ref="A228:B228"/>
    <mergeCell ref="A229:B229"/>
    <mergeCell ref="A230:B230"/>
    <mergeCell ref="A231:B231"/>
    <mergeCell ref="A214:B214"/>
    <mergeCell ref="A215:B215"/>
    <mergeCell ref="A216:B216"/>
    <mergeCell ref="A217:B217"/>
    <mergeCell ref="A218:B218"/>
    <mergeCell ref="A219:B219"/>
    <mergeCell ref="A220:B220"/>
    <mergeCell ref="A221:B221"/>
    <mergeCell ref="A222:B222"/>
    <mergeCell ref="A205:B205"/>
    <mergeCell ref="A206:B206"/>
    <mergeCell ref="A207:B207"/>
    <mergeCell ref="A208:B208"/>
    <mergeCell ref="A209:B209"/>
    <mergeCell ref="A210:B210"/>
    <mergeCell ref="A211:B211"/>
    <mergeCell ref="A212:B212"/>
    <mergeCell ref="A213:B213"/>
    <mergeCell ref="A196:B196"/>
    <mergeCell ref="A197:B197"/>
    <mergeCell ref="A198:B198"/>
    <mergeCell ref="A199:B199"/>
    <mergeCell ref="A200:B200"/>
    <mergeCell ref="A201:B201"/>
    <mergeCell ref="A202:B202"/>
    <mergeCell ref="A203:B203"/>
    <mergeCell ref="A204:B204"/>
    <mergeCell ref="A187:B187"/>
    <mergeCell ref="A188:B188"/>
    <mergeCell ref="A189:B189"/>
    <mergeCell ref="A190:B190"/>
    <mergeCell ref="A191:B191"/>
    <mergeCell ref="A192:B192"/>
    <mergeCell ref="A193:B193"/>
    <mergeCell ref="A194:B194"/>
    <mergeCell ref="A195:B195"/>
    <mergeCell ref="A178:B178"/>
    <mergeCell ref="A179:B179"/>
    <mergeCell ref="A180:B180"/>
    <mergeCell ref="A181:B181"/>
    <mergeCell ref="A182:B182"/>
    <mergeCell ref="A183:B183"/>
    <mergeCell ref="A184:B184"/>
    <mergeCell ref="A185:B185"/>
    <mergeCell ref="A186:B186"/>
    <mergeCell ref="A169:B169"/>
    <mergeCell ref="A170:B170"/>
    <mergeCell ref="A171:B171"/>
    <mergeCell ref="A172:B172"/>
    <mergeCell ref="A173:B173"/>
    <mergeCell ref="A174:B174"/>
    <mergeCell ref="A175:B175"/>
    <mergeCell ref="A176:B176"/>
    <mergeCell ref="A177:B177"/>
    <mergeCell ref="A160:B160"/>
    <mergeCell ref="A161:B161"/>
    <mergeCell ref="A162:B162"/>
    <mergeCell ref="A163:B163"/>
    <mergeCell ref="A164:B164"/>
    <mergeCell ref="A165:B165"/>
    <mergeCell ref="A166:B166"/>
    <mergeCell ref="A167:B167"/>
    <mergeCell ref="A168:B168"/>
    <mergeCell ref="A151:B151"/>
    <mergeCell ref="A152:B152"/>
    <mergeCell ref="A153:B153"/>
    <mergeCell ref="A154:B154"/>
    <mergeCell ref="A155:B155"/>
    <mergeCell ref="A156:B156"/>
    <mergeCell ref="A157:B157"/>
    <mergeCell ref="A158:B158"/>
    <mergeCell ref="A159:B159"/>
    <mergeCell ref="A142:B142"/>
    <mergeCell ref="A143:B143"/>
    <mergeCell ref="A144:B144"/>
    <mergeCell ref="A145:B145"/>
    <mergeCell ref="A146:B146"/>
    <mergeCell ref="A147:B147"/>
    <mergeCell ref="A148:B148"/>
    <mergeCell ref="A149:B149"/>
    <mergeCell ref="A150:B150"/>
    <mergeCell ref="A133:B133"/>
    <mergeCell ref="A134:B134"/>
    <mergeCell ref="A135:B135"/>
    <mergeCell ref="A136:B136"/>
    <mergeCell ref="A137:B137"/>
    <mergeCell ref="A138:B138"/>
    <mergeCell ref="A139:B139"/>
    <mergeCell ref="A140:B140"/>
    <mergeCell ref="A141:B141"/>
    <mergeCell ref="A124:B124"/>
    <mergeCell ref="A125:B125"/>
    <mergeCell ref="A126:B126"/>
    <mergeCell ref="A127:B127"/>
    <mergeCell ref="A128:B128"/>
    <mergeCell ref="A129:B129"/>
    <mergeCell ref="A130:B130"/>
    <mergeCell ref="A131:B131"/>
    <mergeCell ref="A132:B132"/>
    <mergeCell ref="A115:B115"/>
    <mergeCell ref="A116:B116"/>
    <mergeCell ref="A117:B117"/>
    <mergeCell ref="A118:B118"/>
    <mergeCell ref="A119:B119"/>
    <mergeCell ref="A120:B120"/>
    <mergeCell ref="A121:B121"/>
    <mergeCell ref="A122:B122"/>
    <mergeCell ref="A123:B123"/>
    <mergeCell ref="A106:B106"/>
    <mergeCell ref="A107:B107"/>
    <mergeCell ref="A108:B108"/>
    <mergeCell ref="A109:B109"/>
    <mergeCell ref="A110:B110"/>
    <mergeCell ref="A111:B111"/>
    <mergeCell ref="A112:B112"/>
    <mergeCell ref="A113:B113"/>
    <mergeCell ref="A114:B114"/>
    <mergeCell ref="A97:B97"/>
    <mergeCell ref="A98:B98"/>
    <mergeCell ref="A99:B99"/>
    <mergeCell ref="A100:B100"/>
    <mergeCell ref="A101:B101"/>
    <mergeCell ref="A102:B102"/>
    <mergeCell ref="A103:B103"/>
    <mergeCell ref="A104:B104"/>
    <mergeCell ref="A105:B105"/>
    <mergeCell ref="A88:B88"/>
    <mergeCell ref="A89:B89"/>
    <mergeCell ref="A90:B90"/>
    <mergeCell ref="A91:B91"/>
    <mergeCell ref="A92:B92"/>
    <mergeCell ref="A93:B93"/>
    <mergeCell ref="A94:B94"/>
    <mergeCell ref="A95:B95"/>
    <mergeCell ref="A96:B96"/>
    <mergeCell ref="A79:B79"/>
    <mergeCell ref="A80:B80"/>
    <mergeCell ref="A81:B81"/>
    <mergeCell ref="A82:B82"/>
    <mergeCell ref="A83:B83"/>
    <mergeCell ref="A84:B84"/>
    <mergeCell ref="A85:B85"/>
    <mergeCell ref="A86:B86"/>
    <mergeCell ref="A87:B87"/>
    <mergeCell ref="A70:B70"/>
    <mergeCell ref="A71:B71"/>
    <mergeCell ref="A72:B72"/>
    <mergeCell ref="A73:B73"/>
    <mergeCell ref="A74:B74"/>
    <mergeCell ref="A75:B75"/>
    <mergeCell ref="A76:B76"/>
    <mergeCell ref="A77:B77"/>
    <mergeCell ref="A78:B78"/>
    <mergeCell ref="A61:B61"/>
    <mergeCell ref="A62:B62"/>
    <mergeCell ref="A63:B63"/>
    <mergeCell ref="A64:B64"/>
    <mergeCell ref="A65:B65"/>
    <mergeCell ref="A66:B66"/>
    <mergeCell ref="A67:B67"/>
    <mergeCell ref="A68:B68"/>
    <mergeCell ref="A69:B69"/>
    <mergeCell ref="A52:B52"/>
    <mergeCell ref="A53:B53"/>
    <mergeCell ref="A54:B54"/>
    <mergeCell ref="A55:B55"/>
    <mergeCell ref="A56:B56"/>
    <mergeCell ref="A57:B57"/>
    <mergeCell ref="A58:B58"/>
    <mergeCell ref="A59:B59"/>
    <mergeCell ref="A60:B60"/>
    <mergeCell ref="A43:B43"/>
    <mergeCell ref="A44:B44"/>
    <mergeCell ref="A45:B45"/>
    <mergeCell ref="A46:B46"/>
    <mergeCell ref="A47:B47"/>
    <mergeCell ref="A48:B48"/>
    <mergeCell ref="A49:B49"/>
    <mergeCell ref="A50:B50"/>
    <mergeCell ref="A51:B51"/>
    <mergeCell ref="A34:B34"/>
    <mergeCell ref="A35:B35"/>
    <mergeCell ref="A36:B36"/>
    <mergeCell ref="A37:B37"/>
    <mergeCell ref="A38:B38"/>
    <mergeCell ref="A39:B39"/>
    <mergeCell ref="A40:B40"/>
    <mergeCell ref="A41:B41"/>
    <mergeCell ref="A42:B42"/>
    <mergeCell ref="A25:B25"/>
    <mergeCell ref="A26:B26"/>
    <mergeCell ref="A27:B27"/>
    <mergeCell ref="A28:B28"/>
    <mergeCell ref="A29:B29"/>
    <mergeCell ref="A30:B30"/>
    <mergeCell ref="A31:B31"/>
    <mergeCell ref="A32:B32"/>
    <mergeCell ref="A33:B33"/>
    <mergeCell ref="A13:B13"/>
    <mergeCell ref="A14:B14"/>
    <mergeCell ref="A15:B15"/>
    <mergeCell ref="A17:B17"/>
    <mergeCell ref="A19:B19"/>
    <mergeCell ref="A21:B21"/>
    <mergeCell ref="A22:B22"/>
    <mergeCell ref="A23:B23"/>
    <mergeCell ref="A24:B24"/>
    <mergeCell ref="A16:B16"/>
    <mergeCell ref="B18:C18"/>
    <mergeCell ref="B20:C20"/>
    <mergeCell ref="A12:B12"/>
    <mergeCell ref="A11:B11"/>
    <mergeCell ref="A9:B9"/>
    <mergeCell ref="A7:B7"/>
    <mergeCell ref="A5:B5"/>
    <mergeCell ref="A1:B1"/>
    <mergeCell ref="A2:B2"/>
    <mergeCell ref="A3:B3"/>
    <mergeCell ref="A4:B4"/>
  </mergeCells>
  <phoneticPr fontId="18"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5A96D-6F16-46E3-B7E1-23F394EE2AB9}">
  <dimension ref="A1:T52"/>
  <sheetViews>
    <sheetView workbookViewId="0">
      <selection activeCell="A41" sqref="A41"/>
    </sheetView>
  </sheetViews>
  <sheetFormatPr defaultRowHeight="12.75"/>
  <cols>
    <col min="1" max="1" width="24.1640625" bestFit="1" customWidth="1"/>
    <col min="5" max="5" width="10.6640625" bestFit="1" customWidth="1"/>
    <col min="8" max="8" width="10.6640625" bestFit="1" customWidth="1"/>
  </cols>
  <sheetData>
    <row r="1" spans="1:20" ht="18.75">
      <c r="A1" s="9" t="s">
        <v>225</v>
      </c>
    </row>
    <row r="4" spans="1:20" ht="18.75">
      <c r="A4" s="11" t="s">
        <v>224</v>
      </c>
      <c r="B4" s="11" t="s">
        <v>224</v>
      </c>
      <c r="D4" s="12" t="s">
        <v>227</v>
      </c>
      <c r="E4" s="12" t="s">
        <v>228</v>
      </c>
      <c r="F4" s="12" t="s">
        <v>229</v>
      </c>
    </row>
    <row r="5" spans="1:20" ht="18.75">
      <c r="A5" s="8">
        <v>1</v>
      </c>
      <c r="B5" s="8">
        <v>50</v>
      </c>
      <c r="D5" s="13">
        <f>AVERAGE(B5:B8)</f>
        <v>58.75</v>
      </c>
      <c r="E5" s="13">
        <f>MEDIAN(B5:B8)</f>
        <v>57.5</v>
      </c>
      <c r="F5" s="13" t="e">
        <f>MODE(B5:B8)</f>
        <v>#N/A</v>
      </c>
      <c r="I5" s="72"/>
      <c r="J5" s="72"/>
      <c r="K5" s="72"/>
      <c r="L5" s="72"/>
      <c r="M5" s="72"/>
      <c r="N5" s="72"/>
      <c r="O5" s="72"/>
      <c r="P5" s="72"/>
      <c r="Q5" s="72"/>
      <c r="R5" s="72"/>
      <c r="S5" s="72"/>
      <c r="T5" s="72"/>
    </row>
    <row r="6" spans="1:20">
      <c r="A6" s="8">
        <v>2</v>
      </c>
      <c r="B6" s="8">
        <v>60</v>
      </c>
      <c r="I6" s="72"/>
      <c r="J6" s="72"/>
      <c r="K6" s="72"/>
      <c r="L6" s="72"/>
      <c r="M6" s="72"/>
      <c r="N6" s="72"/>
      <c r="O6" s="72"/>
      <c r="P6" s="72"/>
      <c r="Q6" s="72"/>
      <c r="R6" s="72"/>
      <c r="S6" s="72"/>
      <c r="T6" s="72"/>
    </row>
    <row r="7" spans="1:20">
      <c r="A7" s="8">
        <v>3</v>
      </c>
      <c r="B7" s="8">
        <v>55</v>
      </c>
      <c r="I7" s="72"/>
      <c r="J7" s="72"/>
      <c r="K7" s="72"/>
      <c r="L7" s="72"/>
      <c r="M7" s="72"/>
      <c r="N7" s="72"/>
      <c r="O7" s="72"/>
      <c r="P7" s="72"/>
      <c r="Q7" s="72"/>
      <c r="R7" s="72"/>
      <c r="S7" s="72"/>
      <c r="T7" s="72"/>
    </row>
    <row r="8" spans="1:20">
      <c r="A8" s="8">
        <v>4</v>
      </c>
      <c r="B8" s="8">
        <v>70</v>
      </c>
      <c r="I8" s="72"/>
      <c r="J8" s="72"/>
      <c r="K8" s="72"/>
      <c r="L8" s="72"/>
      <c r="M8" s="72"/>
      <c r="N8" s="72"/>
      <c r="O8" s="72"/>
      <c r="P8" s="72"/>
      <c r="Q8" s="72"/>
      <c r="R8" s="72"/>
      <c r="S8" s="72"/>
      <c r="T8" s="72"/>
    </row>
    <row r="9" spans="1:20">
      <c r="I9" s="72"/>
      <c r="J9" s="72"/>
      <c r="K9" s="72"/>
      <c r="L9" s="72"/>
      <c r="M9" s="72"/>
      <c r="N9" s="72"/>
      <c r="O9" s="72"/>
      <c r="P9" s="72"/>
      <c r="Q9" s="72"/>
      <c r="R9" s="72"/>
      <c r="S9" s="72"/>
      <c r="T9" s="72"/>
    </row>
    <row r="10" spans="1:20">
      <c r="I10" s="72"/>
      <c r="J10" s="72"/>
      <c r="K10" s="72"/>
      <c r="L10" s="72"/>
      <c r="M10" s="72"/>
      <c r="N10" s="72"/>
      <c r="O10" s="72"/>
      <c r="P10" s="72"/>
      <c r="Q10" s="72"/>
      <c r="R10" s="72"/>
      <c r="S10" s="72"/>
      <c r="T10" s="72"/>
    </row>
    <row r="11" spans="1:20" ht="18.75">
      <c r="A11" s="14" t="s">
        <v>226</v>
      </c>
      <c r="I11" s="72"/>
      <c r="J11" s="72"/>
      <c r="K11" s="72"/>
      <c r="L11" s="72"/>
      <c r="M11" s="72"/>
      <c r="N11" s="72"/>
      <c r="O11" s="72"/>
      <c r="P11" s="72"/>
      <c r="Q11" s="72"/>
      <c r="R11" s="72"/>
      <c r="S11" s="72"/>
      <c r="T11" s="72"/>
    </row>
    <row r="12" spans="1:20">
      <c r="I12" s="72"/>
      <c r="J12" s="72"/>
      <c r="K12" s="72"/>
      <c r="L12" s="72"/>
      <c r="M12" s="72"/>
      <c r="N12" s="72"/>
      <c r="O12" s="72"/>
      <c r="P12" s="72"/>
      <c r="Q12" s="72"/>
      <c r="R12" s="72"/>
      <c r="S12" s="72"/>
      <c r="T12" s="72"/>
    </row>
    <row r="13" spans="1:20" ht="18.75">
      <c r="A13" s="15" t="s">
        <v>230</v>
      </c>
      <c r="C13" s="18" t="s">
        <v>231</v>
      </c>
      <c r="D13" s="94" t="s">
        <v>232</v>
      </c>
      <c r="E13" s="95"/>
      <c r="F13" s="96" t="s">
        <v>229</v>
      </c>
      <c r="G13" s="97"/>
      <c r="H13" s="72"/>
      <c r="I13" s="72"/>
      <c r="J13" s="72"/>
      <c r="K13" s="72"/>
      <c r="L13" s="72"/>
      <c r="M13" s="72"/>
    </row>
    <row r="14" spans="1:20" ht="18.75">
      <c r="A14" s="8">
        <v>15</v>
      </c>
      <c r="C14" s="13">
        <f>AVERAGE(A14:A33)</f>
        <v>17</v>
      </c>
      <c r="D14" s="92">
        <f>MEDIAN(A14:A33)</f>
        <v>15</v>
      </c>
      <c r="E14" s="93"/>
      <c r="F14" s="17">
        <f>MODE(A14:A33)</f>
        <v>10</v>
      </c>
      <c r="G14" s="16"/>
    </row>
    <row r="15" spans="1:20">
      <c r="A15" s="8">
        <v>10</v>
      </c>
    </row>
    <row r="16" spans="1:20">
      <c r="A16" s="8">
        <v>20</v>
      </c>
    </row>
    <row r="17" spans="1:1">
      <c r="A17" s="8">
        <v>25</v>
      </c>
    </row>
    <row r="18" spans="1:1">
      <c r="A18" s="8">
        <v>15</v>
      </c>
    </row>
    <row r="19" spans="1:1">
      <c r="A19" s="8">
        <v>10</v>
      </c>
    </row>
    <row r="20" spans="1:1">
      <c r="A20" s="8">
        <v>30</v>
      </c>
    </row>
    <row r="21" spans="1:1">
      <c r="A21" s="8">
        <v>20</v>
      </c>
    </row>
    <row r="22" spans="1:1">
      <c r="A22" s="8">
        <v>15</v>
      </c>
    </row>
    <row r="23" spans="1:1">
      <c r="A23" s="8">
        <v>10</v>
      </c>
    </row>
    <row r="24" spans="1:1">
      <c r="A24" s="8">
        <v>10</v>
      </c>
    </row>
    <row r="25" spans="1:1">
      <c r="A25" s="8">
        <v>25</v>
      </c>
    </row>
    <row r="26" spans="1:1">
      <c r="A26" s="8">
        <v>15</v>
      </c>
    </row>
    <row r="27" spans="1:1">
      <c r="A27" s="8">
        <v>20</v>
      </c>
    </row>
    <row r="28" spans="1:1">
      <c r="A28" s="8">
        <v>20</v>
      </c>
    </row>
    <row r="29" spans="1:1">
      <c r="A29" s="8">
        <v>15</v>
      </c>
    </row>
    <row r="30" spans="1:1">
      <c r="A30" s="8">
        <v>10</v>
      </c>
    </row>
    <row r="31" spans="1:1">
      <c r="A31" s="8">
        <v>20</v>
      </c>
    </row>
    <row r="32" spans="1:1">
      <c r="A32" s="8">
        <v>25</v>
      </c>
    </row>
    <row r="33" spans="1:9">
      <c r="A33" s="8">
        <v>10</v>
      </c>
    </row>
    <row r="36" spans="1:9" ht="18.75">
      <c r="A36" s="19" t="s">
        <v>233</v>
      </c>
    </row>
    <row r="37" spans="1:9" ht="17.25" customHeight="1"/>
    <row r="38" spans="1:9" ht="18.75">
      <c r="A38" s="20" t="s">
        <v>234</v>
      </c>
      <c r="B38" s="21"/>
    </row>
    <row r="40" spans="1:9" ht="18.75">
      <c r="A40" s="8">
        <v>3</v>
      </c>
      <c r="B40" s="8">
        <v>4</v>
      </c>
      <c r="C40" s="8">
        <v>6</v>
      </c>
      <c r="D40" s="8">
        <v>7</v>
      </c>
      <c r="E40" s="8">
        <v>5</v>
      </c>
      <c r="G40" s="23" t="s">
        <v>231</v>
      </c>
      <c r="H40" s="23" t="s">
        <v>228</v>
      </c>
      <c r="I40" s="23" t="s">
        <v>229</v>
      </c>
    </row>
    <row r="41" spans="1:9" ht="18.75">
      <c r="A41" s="8">
        <v>2</v>
      </c>
      <c r="B41" s="8">
        <v>2</v>
      </c>
      <c r="C41" s="8">
        <v>3</v>
      </c>
      <c r="D41" s="8">
        <v>2</v>
      </c>
      <c r="E41" s="8">
        <v>3</v>
      </c>
      <c r="G41" s="13">
        <f>AVERAGE(A40:E49)</f>
        <v>3.44</v>
      </c>
      <c r="H41" s="13">
        <f>MEDIAN(A40:E49)</f>
        <v>3</v>
      </c>
      <c r="I41" s="13">
        <f>MODE(A40:E49)</f>
        <v>2</v>
      </c>
    </row>
    <row r="42" spans="1:9">
      <c r="A42" s="8">
        <v>5</v>
      </c>
      <c r="B42" s="8">
        <v>3</v>
      </c>
      <c r="C42" s="8">
        <v>2</v>
      </c>
      <c r="D42" s="8">
        <v>3</v>
      </c>
      <c r="E42" s="8">
        <v>2</v>
      </c>
    </row>
    <row r="43" spans="1:9">
      <c r="A43" s="8">
        <v>4</v>
      </c>
      <c r="B43" s="8">
        <v>5</v>
      </c>
      <c r="C43" s="8">
        <v>1</v>
      </c>
      <c r="D43" s="8">
        <v>4</v>
      </c>
      <c r="E43" s="8">
        <v>4</v>
      </c>
    </row>
    <row r="44" spans="1:9">
      <c r="A44" s="8">
        <v>7</v>
      </c>
      <c r="B44" s="8">
        <v>2</v>
      </c>
      <c r="C44" s="8">
        <v>4</v>
      </c>
      <c r="D44" s="8">
        <v>5</v>
      </c>
      <c r="E44" s="8">
        <v>2</v>
      </c>
    </row>
    <row r="45" spans="1:9">
      <c r="A45" s="8">
        <v>2</v>
      </c>
      <c r="B45" s="8">
        <v>4</v>
      </c>
      <c r="C45" s="8">
        <v>2</v>
      </c>
      <c r="D45" s="8">
        <v>1</v>
      </c>
      <c r="E45" s="8">
        <v>6</v>
      </c>
      <c r="G45" s="10" t="s">
        <v>222</v>
      </c>
    </row>
    <row r="46" spans="1:9">
      <c r="A46" s="8">
        <v>3</v>
      </c>
      <c r="B46" s="8">
        <v>2</v>
      </c>
      <c r="C46" s="8">
        <v>4</v>
      </c>
      <c r="D46" s="8">
        <v>6</v>
      </c>
      <c r="E46" s="8">
        <v>3</v>
      </c>
    </row>
    <row r="47" spans="1:9">
      <c r="A47" s="8">
        <v>3</v>
      </c>
      <c r="B47" s="8">
        <v>1</v>
      </c>
      <c r="C47" s="8">
        <v>5</v>
      </c>
      <c r="D47" s="8">
        <v>2</v>
      </c>
      <c r="E47" s="8">
        <v>2</v>
      </c>
    </row>
    <row r="48" spans="1:9">
      <c r="A48" s="8">
        <v>1</v>
      </c>
      <c r="B48" s="8">
        <v>3</v>
      </c>
      <c r="C48" s="8">
        <v>3</v>
      </c>
      <c r="D48" s="8">
        <v>4</v>
      </c>
      <c r="E48" s="8">
        <v>4</v>
      </c>
    </row>
    <row r="49" spans="1:5">
      <c r="A49" s="8">
        <v>6</v>
      </c>
      <c r="B49" s="8">
        <v>5</v>
      </c>
      <c r="C49" s="8">
        <v>2</v>
      </c>
      <c r="D49" s="8">
        <v>3</v>
      </c>
      <c r="E49" s="8">
        <v>5</v>
      </c>
    </row>
    <row r="52" spans="1:5" ht="18.75">
      <c r="A52" s="22"/>
    </row>
  </sheetData>
  <mergeCells count="54">
    <mergeCell ref="D14:E14"/>
    <mergeCell ref="I12:J12"/>
    <mergeCell ref="K12:L12"/>
    <mergeCell ref="M12:N12"/>
    <mergeCell ref="O12:P12"/>
    <mergeCell ref="D13:E13"/>
    <mergeCell ref="F13:G13"/>
    <mergeCell ref="H13:I13"/>
    <mergeCell ref="J13:K13"/>
    <mergeCell ref="L13:M13"/>
    <mergeCell ref="Q12:R12"/>
    <mergeCell ref="S12:T12"/>
    <mergeCell ref="I11:J11"/>
    <mergeCell ref="K11:L11"/>
    <mergeCell ref="M11:N11"/>
    <mergeCell ref="O11:P11"/>
    <mergeCell ref="Q11:R11"/>
    <mergeCell ref="S11:T11"/>
    <mergeCell ref="S10:T10"/>
    <mergeCell ref="I9:J9"/>
    <mergeCell ref="K9:L9"/>
    <mergeCell ref="M9:N9"/>
    <mergeCell ref="O9:P9"/>
    <mergeCell ref="Q9:R9"/>
    <mergeCell ref="S9:T9"/>
    <mergeCell ref="I10:J10"/>
    <mergeCell ref="K10:L10"/>
    <mergeCell ref="M10:N10"/>
    <mergeCell ref="O10:P10"/>
    <mergeCell ref="Q10:R10"/>
    <mergeCell ref="M7:N7"/>
    <mergeCell ref="O7:P7"/>
    <mergeCell ref="Q7:R7"/>
    <mergeCell ref="S7:T7"/>
    <mergeCell ref="I8:J8"/>
    <mergeCell ref="K8:L8"/>
    <mergeCell ref="M8:N8"/>
    <mergeCell ref="O8:P8"/>
    <mergeCell ref="Q8:R8"/>
    <mergeCell ref="S8:T8"/>
    <mergeCell ref="I7:J7"/>
    <mergeCell ref="K7:L7"/>
    <mergeCell ref="O5:P5"/>
    <mergeCell ref="Q5:R5"/>
    <mergeCell ref="S5:T5"/>
    <mergeCell ref="I6:J6"/>
    <mergeCell ref="K6:L6"/>
    <mergeCell ref="M6:N6"/>
    <mergeCell ref="O6:P6"/>
    <mergeCell ref="Q6:R6"/>
    <mergeCell ref="S6:T6"/>
    <mergeCell ref="I5:J5"/>
    <mergeCell ref="K5:L5"/>
    <mergeCell ref="M5:N5"/>
  </mergeCells>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F1F65-B43D-4F64-A77C-DC1E80341B7E}">
  <dimension ref="A1:CW85"/>
  <sheetViews>
    <sheetView topLeftCell="A28" workbookViewId="0">
      <selection activeCell="B72" sqref="B72"/>
    </sheetView>
  </sheetViews>
  <sheetFormatPr defaultRowHeight="12.75"/>
  <cols>
    <col min="1" max="1" width="31.33203125" customWidth="1"/>
    <col min="2" max="2" width="17.1640625" bestFit="1" customWidth="1"/>
    <col min="3" max="3" width="19" bestFit="1" customWidth="1"/>
    <col min="4" max="4" width="16.83203125" bestFit="1" customWidth="1"/>
    <col min="5" max="5" width="16.1640625" customWidth="1"/>
  </cols>
  <sheetData>
    <row r="1" spans="1:25" ht="18.75">
      <c r="A1" s="19" t="s">
        <v>225</v>
      </c>
    </row>
    <row r="2" spans="1:25" ht="18.75">
      <c r="A2" s="22"/>
    </row>
    <row r="3" spans="1:25" ht="18.75">
      <c r="A3" s="22"/>
    </row>
    <row r="4" spans="1:25" ht="18.75">
      <c r="A4" s="25" t="s">
        <v>237</v>
      </c>
      <c r="B4" s="29" t="s">
        <v>223</v>
      </c>
    </row>
    <row r="5" spans="1:25" ht="18.75">
      <c r="A5" s="15" t="s">
        <v>238</v>
      </c>
      <c r="B5" s="8">
        <v>120</v>
      </c>
      <c r="D5" s="25" t="s">
        <v>236</v>
      </c>
      <c r="E5" s="25" t="s">
        <v>258</v>
      </c>
      <c r="F5" s="25" t="s">
        <v>252</v>
      </c>
    </row>
    <row r="6" spans="1:25" ht="18.75">
      <c r="A6" s="15" t="s">
        <v>235</v>
      </c>
      <c r="B6" s="8">
        <v>110</v>
      </c>
      <c r="D6" s="13">
        <f>_xlfn.VAR.S(B5:B14)</f>
        <v>123.33333333333333</v>
      </c>
      <c r="E6" s="13">
        <f>_xlfn.STDEV.S(B5:B14)</f>
        <v>11.105554165971787</v>
      </c>
      <c r="F6" s="13">
        <f>MAX(B5:B14)-MIN(B5:B14)</f>
        <v>35</v>
      </c>
    </row>
    <row r="7" spans="1:25">
      <c r="A7" s="15" t="s">
        <v>239</v>
      </c>
      <c r="B7" s="8">
        <v>130</v>
      </c>
    </row>
    <row r="8" spans="1:25">
      <c r="A8" s="15" t="s">
        <v>240</v>
      </c>
      <c r="B8" s="15">
        <v>115</v>
      </c>
      <c r="F8" s="10" t="s">
        <v>222</v>
      </c>
    </row>
    <row r="9" spans="1:25">
      <c r="A9" s="15" t="s">
        <v>271</v>
      </c>
      <c r="B9" s="15">
        <v>125</v>
      </c>
      <c r="D9" s="10"/>
      <c r="F9" s="10"/>
      <c r="G9" s="10"/>
      <c r="H9" s="10"/>
      <c r="I9" s="10"/>
      <c r="J9" s="10"/>
      <c r="K9" s="10"/>
      <c r="L9" s="10"/>
      <c r="M9" s="10"/>
      <c r="N9" s="10"/>
      <c r="O9" s="10"/>
      <c r="P9" s="10"/>
      <c r="Q9" s="10"/>
      <c r="R9" s="10"/>
      <c r="S9" s="10"/>
    </row>
    <row r="10" spans="1:25">
      <c r="A10" s="15" t="s">
        <v>241</v>
      </c>
      <c r="B10" s="15">
        <v>105</v>
      </c>
      <c r="C10" s="10"/>
    </row>
    <row r="11" spans="1:25" ht="15.75" customHeight="1">
      <c r="A11" s="15" t="s">
        <v>242</v>
      </c>
      <c r="B11" s="8">
        <v>135</v>
      </c>
      <c r="F11" s="22"/>
      <c r="G11" s="22"/>
      <c r="H11" s="22"/>
      <c r="I11" s="22"/>
      <c r="J11" s="22"/>
      <c r="K11" s="22"/>
      <c r="L11" s="22"/>
      <c r="M11" s="22"/>
      <c r="N11" s="22"/>
      <c r="O11" s="22"/>
      <c r="P11" s="22"/>
      <c r="Q11" s="22"/>
      <c r="R11" s="22"/>
      <c r="S11" s="22"/>
    </row>
    <row r="12" spans="1:25" ht="15" customHeight="1">
      <c r="A12" s="15" t="s">
        <v>243</v>
      </c>
      <c r="B12" s="15">
        <v>115</v>
      </c>
      <c r="C12" s="22"/>
      <c r="F12" s="22" t="s">
        <v>222</v>
      </c>
      <c r="G12" s="22"/>
      <c r="H12" s="22"/>
      <c r="I12" s="22"/>
      <c r="J12" s="22"/>
      <c r="K12" s="22"/>
      <c r="L12" s="22"/>
      <c r="M12" s="22"/>
      <c r="N12" s="22"/>
      <c r="O12" s="22"/>
      <c r="P12" s="22"/>
      <c r="Q12" s="22"/>
      <c r="R12" s="22"/>
      <c r="S12" s="22"/>
    </row>
    <row r="13" spans="1:25" ht="15.75" customHeight="1">
      <c r="A13" s="15" t="s">
        <v>244</v>
      </c>
      <c r="B13" s="15">
        <v>125</v>
      </c>
      <c r="C13" s="22"/>
      <c r="F13" s="22"/>
      <c r="G13" s="22"/>
      <c r="H13" s="22"/>
      <c r="I13" s="22"/>
      <c r="J13" s="22"/>
      <c r="K13" s="22"/>
      <c r="L13" s="22"/>
      <c r="M13" s="22"/>
      <c r="N13" s="22"/>
      <c r="O13" s="22"/>
      <c r="P13" s="22"/>
      <c r="Q13" s="22"/>
      <c r="R13" s="22"/>
      <c r="S13" s="22"/>
      <c r="Y13" s="10" t="s">
        <v>222</v>
      </c>
    </row>
    <row r="14" spans="1:25" ht="18.75">
      <c r="A14" s="15" t="s">
        <v>245</v>
      </c>
      <c r="B14" s="15">
        <v>140</v>
      </c>
      <c r="C14" s="22"/>
    </row>
    <row r="16" spans="1:25">
      <c r="A16" s="10"/>
    </row>
    <row r="19" spans="1:51" ht="18.75">
      <c r="A19" s="19" t="s">
        <v>226</v>
      </c>
    </row>
    <row r="21" spans="1:51" ht="21" customHeight="1">
      <c r="A21" s="27" t="s">
        <v>246</v>
      </c>
      <c r="B21" s="15">
        <v>500</v>
      </c>
      <c r="C21" s="8">
        <v>700</v>
      </c>
      <c r="D21" s="8">
        <v>400</v>
      </c>
      <c r="E21" s="8">
        <v>600</v>
      </c>
      <c r="F21" s="8">
        <v>550</v>
      </c>
      <c r="G21" s="8">
        <v>750</v>
      </c>
      <c r="H21" s="8">
        <v>650</v>
      </c>
      <c r="I21" s="8">
        <v>500</v>
      </c>
      <c r="J21" s="8">
        <v>600</v>
      </c>
      <c r="K21" s="8">
        <v>550</v>
      </c>
      <c r="L21" s="8">
        <v>800</v>
      </c>
      <c r="M21" s="8">
        <v>450</v>
      </c>
      <c r="N21" s="8">
        <v>700</v>
      </c>
      <c r="O21" s="8">
        <v>550</v>
      </c>
      <c r="P21" s="8">
        <v>600</v>
      </c>
    </row>
    <row r="22" spans="1:51" ht="18.75">
      <c r="A22" s="26"/>
      <c r="B22" s="15">
        <v>400</v>
      </c>
      <c r="C22" s="8">
        <v>650</v>
      </c>
      <c r="D22" s="8">
        <v>500</v>
      </c>
      <c r="E22" s="8">
        <v>750</v>
      </c>
      <c r="F22" s="8">
        <v>550</v>
      </c>
      <c r="G22" s="8">
        <v>700</v>
      </c>
      <c r="H22" s="8">
        <v>600</v>
      </c>
      <c r="I22" s="8">
        <v>500</v>
      </c>
      <c r="J22" s="8">
        <v>800</v>
      </c>
      <c r="K22" s="8">
        <v>550</v>
      </c>
      <c r="L22" s="8">
        <v>650</v>
      </c>
      <c r="M22" s="8">
        <v>400</v>
      </c>
      <c r="N22" s="8">
        <v>600</v>
      </c>
      <c r="O22" s="8">
        <v>750</v>
      </c>
      <c r="P22" s="8">
        <v>550</v>
      </c>
      <c r="S22" s="10" t="s">
        <v>222</v>
      </c>
    </row>
    <row r="24" spans="1:51" ht="15.75" customHeight="1"/>
    <row r="25" spans="1:51" ht="18.75">
      <c r="B25" s="25" t="s">
        <v>247</v>
      </c>
      <c r="C25" s="23" t="s">
        <v>236</v>
      </c>
      <c r="D25" s="23" t="s">
        <v>255</v>
      </c>
    </row>
    <row r="26" spans="1:51" ht="18.75">
      <c r="B26" s="13">
        <f>MAX(B21:P22)-MIN(B21:P22)</f>
        <v>400</v>
      </c>
      <c r="C26" s="13">
        <f>_xlfn.VAR.S(B21:P22)</f>
        <v>13163.793103448275</v>
      </c>
      <c r="D26" s="13">
        <f>_xlfn.STDEV.S(B21:P22)</f>
        <v>114.73357443855863</v>
      </c>
    </row>
    <row r="29" spans="1:51" ht="18.75">
      <c r="A29" s="19" t="s">
        <v>248</v>
      </c>
    </row>
    <row r="30" spans="1:51" ht="18.75">
      <c r="A30" s="22"/>
    </row>
    <row r="31" spans="1:51" ht="18.75">
      <c r="A31" s="24" t="s">
        <v>249</v>
      </c>
      <c r="B31" s="30">
        <v>3</v>
      </c>
      <c r="C31" s="15">
        <v>5</v>
      </c>
      <c r="D31" s="8">
        <v>2</v>
      </c>
      <c r="E31" s="8">
        <v>4</v>
      </c>
      <c r="F31" s="8">
        <v>6</v>
      </c>
      <c r="G31" s="8">
        <v>2</v>
      </c>
      <c r="H31" s="8">
        <v>3</v>
      </c>
      <c r="I31" s="8">
        <v>4</v>
      </c>
      <c r="J31" s="8">
        <v>2</v>
      </c>
      <c r="K31" s="8">
        <v>5</v>
      </c>
      <c r="L31" s="8">
        <v>7</v>
      </c>
      <c r="M31" s="8">
        <v>2</v>
      </c>
      <c r="N31" s="8">
        <v>3</v>
      </c>
      <c r="O31" s="8">
        <v>4</v>
      </c>
      <c r="P31" s="8">
        <v>2</v>
      </c>
      <c r="Q31" s="8">
        <v>4</v>
      </c>
      <c r="R31" s="8">
        <v>2</v>
      </c>
      <c r="S31" s="8">
        <v>3</v>
      </c>
      <c r="T31" s="8">
        <v>5</v>
      </c>
      <c r="U31" s="8">
        <v>6</v>
      </c>
      <c r="V31" s="8">
        <v>3</v>
      </c>
      <c r="W31" s="8">
        <v>2</v>
      </c>
      <c r="X31" s="8">
        <v>1</v>
      </c>
      <c r="Y31" s="8">
        <v>4</v>
      </c>
      <c r="Z31" s="8">
        <v>2</v>
      </c>
      <c r="AA31" s="8">
        <v>4</v>
      </c>
      <c r="AB31" s="8">
        <v>5</v>
      </c>
      <c r="AC31" s="8">
        <v>3</v>
      </c>
      <c r="AD31" s="8">
        <v>2</v>
      </c>
      <c r="AE31" s="8">
        <v>7</v>
      </c>
      <c r="AF31" s="8">
        <v>2</v>
      </c>
      <c r="AG31" s="8">
        <v>3</v>
      </c>
      <c r="AH31" s="8">
        <v>4</v>
      </c>
      <c r="AI31" s="8">
        <v>5</v>
      </c>
      <c r="AJ31" s="8">
        <v>1</v>
      </c>
      <c r="AK31" s="8">
        <v>6</v>
      </c>
      <c r="AL31" s="8">
        <v>2</v>
      </c>
      <c r="AM31" s="8">
        <v>4</v>
      </c>
      <c r="AN31" s="8">
        <v>3</v>
      </c>
      <c r="AO31" s="8">
        <v>5</v>
      </c>
      <c r="AP31" s="8">
        <v>3</v>
      </c>
      <c r="AQ31" s="8">
        <v>2</v>
      </c>
      <c r="AR31" s="8">
        <v>4</v>
      </c>
      <c r="AS31" s="8">
        <v>2</v>
      </c>
      <c r="AT31" s="8">
        <v>6</v>
      </c>
      <c r="AU31" s="8">
        <v>3</v>
      </c>
      <c r="AV31" s="8">
        <v>2</v>
      </c>
      <c r="AW31" s="8">
        <v>4</v>
      </c>
      <c r="AX31" s="8">
        <v>5</v>
      </c>
      <c r="AY31" s="8">
        <v>3</v>
      </c>
    </row>
    <row r="33" spans="1:13">
      <c r="A33" s="10"/>
    </row>
    <row r="34" spans="1:13" ht="18.75">
      <c r="B34" s="25" t="s">
        <v>252</v>
      </c>
      <c r="C34" s="25" t="s">
        <v>236</v>
      </c>
      <c r="D34" s="25" t="s">
        <v>257</v>
      </c>
    </row>
    <row r="35" spans="1:13" ht="18.75">
      <c r="B35" s="13">
        <f>MAX(B31:AY31)-MIN(B31:AY31)</f>
        <v>6</v>
      </c>
      <c r="C35" s="13">
        <f>_xlfn.VAR.S(B31:AY31)</f>
        <v>2.3363265306122454</v>
      </c>
      <c r="D35" s="13">
        <f>_xlfn.STDEV.S(B31:AY31)</f>
        <v>1.5285046714394579</v>
      </c>
    </row>
    <row r="37" spans="1:13">
      <c r="B37" s="10" t="s">
        <v>222</v>
      </c>
      <c r="D37" s="10"/>
    </row>
    <row r="39" spans="1:13" ht="18.75">
      <c r="A39" s="19" t="s">
        <v>250</v>
      </c>
      <c r="H39" s="10"/>
    </row>
    <row r="42" spans="1:13" ht="18.75">
      <c r="A42" s="12" t="s">
        <v>251</v>
      </c>
      <c r="B42" s="15">
        <v>120</v>
      </c>
      <c r="C42" s="15">
        <v>150</v>
      </c>
      <c r="D42" s="8">
        <v>110</v>
      </c>
      <c r="E42" s="8">
        <v>135</v>
      </c>
      <c r="F42" s="8">
        <v>125</v>
      </c>
      <c r="G42" s="8">
        <v>140</v>
      </c>
      <c r="H42" s="8">
        <v>130</v>
      </c>
      <c r="I42" s="8">
        <v>155</v>
      </c>
      <c r="J42" s="8">
        <v>115</v>
      </c>
      <c r="K42" s="8">
        <v>145</v>
      </c>
      <c r="L42" s="8">
        <v>135</v>
      </c>
      <c r="M42" s="8">
        <v>130</v>
      </c>
    </row>
    <row r="44" spans="1:13" ht="18.75">
      <c r="A44" s="10"/>
      <c r="B44" s="12" t="s">
        <v>256</v>
      </c>
      <c r="C44" s="12" t="s">
        <v>247</v>
      </c>
    </row>
    <row r="45" spans="1:13" ht="18.75">
      <c r="B45" s="13">
        <f>AVERAGE(B42:M42)</f>
        <v>132.5</v>
      </c>
      <c r="C45" s="13">
        <f>MAX(B42:M42)-MIN(B42:M42)</f>
        <v>45</v>
      </c>
    </row>
    <row r="48" spans="1:13" ht="18.75">
      <c r="A48" s="19" t="s">
        <v>253</v>
      </c>
    </row>
    <row r="51" spans="1:101" ht="18.75">
      <c r="A51" s="25" t="s">
        <v>254</v>
      </c>
      <c r="B51" s="15">
        <v>8</v>
      </c>
      <c r="C51" s="8">
        <v>7</v>
      </c>
      <c r="D51" s="8">
        <v>9</v>
      </c>
      <c r="E51" s="8">
        <v>6</v>
      </c>
      <c r="F51" s="8">
        <v>7</v>
      </c>
      <c r="G51" s="8">
        <v>8</v>
      </c>
      <c r="H51" s="8">
        <v>9</v>
      </c>
      <c r="I51" s="8">
        <v>8</v>
      </c>
      <c r="J51" s="8">
        <v>7</v>
      </c>
      <c r="K51" s="8">
        <v>6</v>
      </c>
      <c r="L51" s="8">
        <v>8</v>
      </c>
      <c r="M51" s="8">
        <v>9</v>
      </c>
      <c r="N51" s="8">
        <v>7</v>
      </c>
      <c r="O51" s="8">
        <v>8</v>
      </c>
      <c r="P51" s="8">
        <v>7</v>
      </c>
      <c r="Q51" s="8">
        <v>6</v>
      </c>
      <c r="R51" s="8">
        <v>8</v>
      </c>
      <c r="S51" s="8">
        <v>9</v>
      </c>
      <c r="T51" s="8">
        <v>6</v>
      </c>
      <c r="U51" s="8">
        <v>7</v>
      </c>
      <c r="V51" s="8">
        <v>8</v>
      </c>
      <c r="W51" s="8">
        <v>9</v>
      </c>
      <c r="X51" s="8">
        <v>7</v>
      </c>
      <c r="Y51" s="8">
        <v>6</v>
      </c>
      <c r="Z51" s="8">
        <v>7</v>
      </c>
      <c r="AA51" s="8">
        <v>8</v>
      </c>
      <c r="AB51" s="8">
        <v>9</v>
      </c>
      <c r="AC51" s="8">
        <v>8</v>
      </c>
      <c r="AD51" s="8">
        <v>7</v>
      </c>
      <c r="AE51" s="8">
        <v>6</v>
      </c>
      <c r="AF51" s="8">
        <v>9</v>
      </c>
      <c r="AG51" s="8">
        <v>8</v>
      </c>
      <c r="AH51" s="8">
        <v>7</v>
      </c>
      <c r="AI51" s="8">
        <v>6</v>
      </c>
      <c r="AJ51" s="8">
        <v>8</v>
      </c>
      <c r="AK51" s="8">
        <v>9</v>
      </c>
      <c r="AL51" s="8">
        <v>7</v>
      </c>
      <c r="AM51" s="8">
        <v>8</v>
      </c>
      <c r="AN51" s="8">
        <v>7</v>
      </c>
      <c r="AO51" s="8">
        <v>6</v>
      </c>
      <c r="AP51" s="8">
        <v>9</v>
      </c>
      <c r="AQ51" s="8">
        <v>8</v>
      </c>
      <c r="AR51" s="8">
        <v>7</v>
      </c>
      <c r="AS51" s="8">
        <v>6</v>
      </c>
      <c r="AT51" s="8">
        <v>7</v>
      </c>
      <c r="AU51" s="8">
        <v>8</v>
      </c>
      <c r="AV51" s="8">
        <v>9</v>
      </c>
      <c r="AW51" s="8">
        <v>8</v>
      </c>
      <c r="AX51" s="8">
        <v>7</v>
      </c>
      <c r="AY51" s="8">
        <v>6</v>
      </c>
    </row>
    <row r="54" spans="1:101">
      <c r="D54" s="10" t="s">
        <v>222</v>
      </c>
    </row>
    <row r="55" spans="1:101" ht="18.75">
      <c r="B55" s="23" t="s">
        <v>259</v>
      </c>
      <c r="C55" s="23" t="s">
        <v>257</v>
      </c>
    </row>
    <row r="56" spans="1:101" ht="18.75">
      <c r="B56" s="13">
        <f>AVERAGE(B51:AY51)</f>
        <v>7.5</v>
      </c>
      <c r="C56" s="13">
        <f>_xlfn.STDEV.S(B51:AY51)</f>
        <v>1.0350983390135313</v>
      </c>
    </row>
    <row r="59" spans="1:101" ht="18.75">
      <c r="A59" s="19" t="s">
        <v>260</v>
      </c>
    </row>
    <row r="63" spans="1:101" ht="18.75">
      <c r="A63" s="23" t="s">
        <v>261</v>
      </c>
      <c r="B63" s="15">
        <v>10</v>
      </c>
      <c r="C63" s="8">
        <v>15</v>
      </c>
      <c r="D63" s="8">
        <v>12</v>
      </c>
      <c r="E63" s="8">
        <v>18</v>
      </c>
      <c r="F63" s="8">
        <v>20</v>
      </c>
      <c r="G63" s="8">
        <v>25</v>
      </c>
      <c r="H63" s="8">
        <v>8</v>
      </c>
      <c r="I63" s="8">
        <v>14</v>
      </c>
      <c r="J63" s="8">
        <v>16</v>
      </c>
      <c r="K63" s="8">
        <v>22</v>
      </c>
      <c r="L63" s="8">
        <v>9</v>
      </c>
      <c r="M63" s="8">
        <v>17</v>
      </c>
      <c r="N63" s="8">
        <v>11</v>
      </c>
      <c r="O63" s="8">
        <v>13</v>
      </c>
      <c r="P63" s="8">
        <v>19</v>
      </c>
      <c r="Q63" s="8">
        <v>23</v>
      </c>
      <c r="R63" s="8">
        <v>21</v>
      </c>
      <c r="S63" s="8">
        <v>16</v>
      </c>
      <c r="T63" s="8">
        <v>24</v>
      </c>
      <c r="U63" s="8">
        <v>27</v>
      </c>
      <c r="V63" s="8">
        <v>13</v>
      </c>
      <c r="W63" s="8">
        <v>10</v>
      </c>
      <c r="X63" s="8">
        <v>18</v>
      </c>
      <c r="Y63" s="8">
        <v>16</v>
      </c>
      <c r="Z63" s="8">
        <v>12</v>
      </c>
      <c r="AA63" s="8">
        <v>14</v>
      </c>
      <c r="AB63" s="8">
        <v>19</v>
      </c>
      <c r="AC63" s="8">
        <v>21</v>
      </c>
      <c r="AD63" s="8">
        <v>11</v>
      </c>
      <c r="AE63" s="8">
        <v>17</v>
      </c>
      <c r="AF63" s="8">
        <v>15</v>
      </c>
      <c r="AG63" s="8">
        <v>20</v>
      </c>
      <c r="AH63" s="8">
        <v>26</v>
      </c>
      <c r="AI63" s="8">
        <v>13</v>
      </c>
      <c r="AJ63" s="8">
        <v>12</v>
      </c>
      <c r="AK63" s="8">
        <v>14</v>
      </c>
      <c r="AL63" s="8">
        <v>22</v>
      </c>
      <c r="AM63" s="8">
        <v>19</v>
      </c>
      <c r="AN63" s="8">
        <v>16</v>
      </c>
      <c r="AO63" s="8">
        <v>11</v>
      </c>
      <c r="AP63" s="8">
        <v>25</v>
      </c>
      <c r="AQ63" s="8">
        <v>18</v>
      </c>
      <c r="AR63" s="8">
        <v>16</v>
      </c>
      <c r="AS63" s="8">
        <v>13</v>
      </c>
      <c r="AT63" s="8">
        <v>21</v>
      </c>
      <c r="AU63" s="8">
        <v>20</v>
      </c>
      <c r="AV63" s="8">
        <v>15</v>
      </c>
      <c r="AW63" s="8">
        <v>12</v>
      </c>
      <c r="AX63" s="8">
        <v>19</v>
      </c>
      <c r="AY63" s="8">
        <v>17</v>
      </c>
      <c r="AZ63" s="8">
        <v>14</v>
      </c>
      <c r="BA63" s="8">
        <v>16</v>
      </c>
      <c r="BB63" s="8">
        <v>23</v>
      </c>
      <c r="BC63" s="8">
        <v>18</v>
      </c>
      <c r="BD63" s="8">
        <v>15</v>
      </c>
      <c r="BE63" s="8">
        <v>11</v>
      </c>
      <c r="BF63" s="8">
        <v>19</v>
      </c>
      <c r="BG63" s="8">
        <v>22</v>
      </c>
      <c r="BH63" s="8">
        <v>17</v>
      </c>
      <c r="BI63" s="8">
        <v>12</v>
      </c>
      <c r="BJ63" s="8">
        <v>16</v>
      </c>
      <c r="BK63" s="8">
        <v>14</v>
      </c>
      <c r="BL63" s="8">
        <v>18</v>
      </c>
      <c r="BM63" s="8">
        <v>20</v>
      </c>
      <c r="BN63" s="8">
        <v>25</v>
      </c>
      <c r="BO63" s="8">
        <v>13</v>
      </c>
      <c r="BP63" s="8">
        <v>11</v>
      </c>
      <c r="BQ63" s="8">
        <v>22</v>
      </c>
      <c r="BR63" s="8">
        <v>19</v>
      </c>
      <c r="BS63" s="8">
        <v>17</v>
      </c>
      <c r="BT63" s="8">
        <v>15</v>
      </c>
      <c r="BU63" s="8">
        <v>16</v>
      </c>
      <c r="BV63" s="8">
        <v>13</v>
      </c>
      <c r="BW63" s="8">
        <v>14</v>
      </c>
      <c r="BX63" s="8">
        <v>18</v>
      </c>
      <c r="BY63" s="8">
        <v>20</v>
      </c>
      <c r="BZ63" s="8">
        <v>19</v>
      </c>
      <c r="CA63" s="8">
        <v>21</v>
      </c>
      <c r="CB63" s="8">
        <v>17</v>
      </c>
      <c r="CC63" s="8">
        <v>12</v>
      </c>
      <c r="CD63" s="8">
        <v>15</v>
      </c>
      <c r="CE63" s="8">
        <v>13</v>
      </c>
      <c r="CF63" s="8">
        <v>16</v>
      </c>
      <c r="CG63" s="8">
        <v>14</v>
      </c>
      <c r="CH63" s="8">
        <v>22</v>
      </c>
      <c r="CI63" s="8">
        <v>21</v>
      </c>
      <c r="CJ63" s="8">
        <v>19</v>
      </c>
      <c r="CK63" s="8">
        <v>18</v>
      </c>
      <c r="CL63" s="8">
        <v>16</v>
      </c>
      <c r="CM63" s="8">
        <v>11</v>
      </c>
      <c r="CN63" s="8">
        <v>17</v>
      </c>
      <c r="CO63" s="8">
        <v>14</v>
      </c>
      <c r="CP63" s="8">
        <v>12</v>
      </c>
      <c r="CQ63" s="8">
        <v>20</v>
      </c>
      <c r="CR63" s="8">
        <v>23</v>
      </c>
      <c r="CS63" s="8">
        <v>19</v>
      </c>
      <c r="CT63" s="8">
        <v>15</v>
      </c>
      <c r="CU63" s="8">
        <v>16</v>
      </c>
      <c r="CV63" s="8">
        <v>13</v>
      </c>
      <c r="CW63" s="8">
        <v>18</v>
      </c>
    </row>
    <row r="66" spans="1:13" ht="18.75">
      <c r="B66" s="23" t="s">
        <v>247</v>
      </c>
      <c r="C66" s="23" t="s">
        <v>257</v>
      </c>
    </row>
    <row r="67" spans="1:13" ht="18.75">
      <c r="B67" s="13">
        <f>MAX(B63:CW63)-MIN(B63:CW63)</f>
        <v>19</v>
      </c>
      <c r="C67" s="13">
        <f>_xlfn.STDEV.S(B63:CW63)</f>
        <v>4.1429506881014673</v>
      </c>
    </row>
    <row r="70" spans="1:13" ht="18.75">
      <c r="A70" s="19" t="s">
        <v>262</v>
      </c>
    </row>
    <row r="72" spans="1:13" ht="15.75">
      <c r="A72" s="28" t="s">
        <v>269</v>
      </c>
    </row>
    <row r="74" spans="1:13">
      <c r="A74" s="15" t="s">
        <v>263</v>
      </c>
      <c r="B74" s="8">
        <v>30</v>
      </c>
      <c r="C74" s="8">
        <v>32</v>
      </c>
      <c r="D74" s="8">
        <v>33</v>
      </c>
      <c r="E74" s="8">
        <v>28</v>
      </c>
      <c r="F74" s="8">
        <v>31</v>
      </c>
      <c r="G74" s="8">
        <v>30</v>
      </c>
      <c r="H74" s="8">
        <v>29</v>
      </c>
      <c r="I74" s="8">
        <v>30</v>
      </c>
      <c r="J74" s="8">
        <v>32</v>
      </c>
      <c r="K74" s="8">
        <v>31</v>
      </c>
    </row>
    <row r="75" spans="1:13">
      <c r="A75" s="15" t="s">
        <v>264</v>
      </c>
      <c r="B75" s="8">
        <v>25</v>
      </c>
      <c r="C75" s="8">
        <v>27</v>
      </c>
      <c r="D75" s="8">
        <v>26</v>
      </c>
      <c r="E75" s="8">
        <v>23</v>
      </c>
      <c r="F75" s="8">
        <v>28</v>
      </c>
      <c r="G75" s="8">
        <v>24</v>
      </c>
      <c r="H75" s="8">
        <v>26</v>
      </c>
      <c r="I75" s="8">
        <v>25</v>
      </c>
      <c r="J75" s="8">
        <v>27</v>
      </c>
      <c r="K75" s="8">
        <v>28</v>
      </c>
    </row>
    <row r="76" spans="1:13">
      <c r="A76" s="15" t="s">
        <v>265</v>
      </c>
      <c r="B76" s="8">
        <v>22</v>
      </c>
      <c r="C76" s="8">
        <v>23</v>
      </c>
      <c r="D76" s="8">
        <v>20</v>
      </c>
      <c r="E76" s="8">
        <v>25</v>
      </c>
      <c r="F76" s="8">
        <v>21</v>
      </c>
      <c r="G76" s="8">
        <v>24</v>
      </c>
      <c r="H76" s="8">
        <v>23</v>
      </c>
      <c r="I76" s="8">
        <v>22</v>
      </c>
      <c r="J76" s="8">
        <v>25</v>
      </c>
      <c r="K76" s="8">
        <v>24</v>
      </c>
    </row>
    <row r="77" spans="1:13">
      <c r="A77" s="15" t="s">
        <v>266</v>
      </c>
      <c r="B77" s="8">
        <v>18</v>
      </c>
      <c r="C77" s="8">
        <v>17</v>
      </c>
      <c r="D77" s="8">
        <v>19</v>
      </c>
      <c r="E77" s="8">
        <v>20</v>
      </c>
      <c r="F77" s="8">
        <v>21</v>
      </c>
      <c r="G77" s="8">
        <v>18</v>
      </c>
      <c r="H77" s="8">
        <v>19</v>
      </c>
      <c r="I77" s="8">
        <v>17</v>
      </c>
      <c r="J77" s="8">
        <v>20</v>
      </c>
      <c r="K77" s="8">
        <v>19</v>
      </c>
    </row>
    <row r="78" spans="1:13">
      <c r="A78" s="15" t="s">
        <v>267</v>
      </c>
      <c r="B78" s="8">
        <v>35</v>
      </c>
      <c r="C78" s="8">
        <v>36</v>
      </c>
      <c r="D78" s="8">
        <v>34</v>
      </c>
      <c r="E78" s="8">
        <v>35</v>
      </c>
      <c r="F78" s="8">
        <v>33</v>
      </c>
      <c r="G78" s="8">
        <v>34</v>
      </c>
      <c r="H78" s="8">
        <v>32</v>
      </c>
      <c r="I78" s="8">
        <v>33</v>
      </c>
      <c r="J78" s="8">
        <v>36</v>
      </c>
      <c r="K78" s="8">
        <v>34</v>
      </c>
      <c r="L78" s="72"/>
      <c r="M78" s="72"/>
    </row>
    <row r="80" spans="1:13" ht="18.75">
      <c r="B80" s="12" t="s">
        <v>259</v>
      </c>
      <c r="C80" s="12" t="s">
        <v>252</v>
      </c>
      <c r="D80" s="12" t="s">
        <v>236</v>
      </c>
    </row>
    <row r="81" spans="1:4" ht="18.75">
      <c r="B81" s="13">
        <f>AVERAGE(B74:K78)</f>
        <v>26.48</v>
      </c>
      <c r="C81" s="13">
        <f>MAX(B74:K78)-MIN(B74:K78)</f>
        <v>19</v>
      </c>
      <c r="D81" s="13">
        <f>_xlfn.VAR.S(B74:K78)</f>
        <v>32.417959183673531</v>
      </c>
    </row>
    <row r="85" spans="1:4" ht="18.75">
      <c r="A85" s="22"/>
    </row>
  </sheetData>
  <mergeCells count="1">
    <mergeCell ref="L78:M78"/>
  </mergeCells>
  <phoneticPr fontId="2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1AE78-FBFA-4B02-9B61-7F0635D6460C}">
  <dimension ref="A1:BJ106"/>
  <sheetViews>
    <sheetView topLeftCell="AT1" zoomScaleNormal="100" workbookViewId="0">
      <selection activeCell="AZ2" sqref="AZ2"/>
    </sheetView>
  </sheetViews>
  <sheetFormatPr defaultRowHeight="12.75"/>
  <cols>
    <col min="1" max="1" width="15.1640625" bestFit="1" customWidth="1"/>
    <col min="8" max="8" width="24.1640625" bestFit="1" customWidth="1"/>
    <col min="13" max="13" width="16.33203125" customWidth="1"/>
    <col min="14" max="14" width="12.33203125" bestFit="1" customWidth="1"/>
    <col min="15" max="15" width="14" bestFit="1" customWidth="1"/>
    <col min="16" max="16" width="15.5" bestFit="1" customWidth="1"/>
    <col min="20" max="20" width="12.33203125" bestFit="1" customWidth="1"/>
    <col min="21" max="21" width="25.33203125" bestFit="1" customWidth="1"/>
    <col min="25" max="25" width="11" bestFit="1" customWidth="1"/>
    <col min="31" max="31" width="11.33203125" bestFit="1" customWidth="1"/>
    <col min="33" max="33" width="11" bestFit="1" customWidth="1"/>
    <col min="35" max="35" width="11" bestFit="1" customWidth="1"/>
    <col min="42" max="42" width="20.1640625" bestFit="1" customWidth="1"/>
    <col min="47" max="47" width="12" bestFit="1" customWidth="1"/>
    <col min="54" max="54" width="12" bestFit="1" customWidth="1"/>
    <col min="55" max="56" width="12.5" bestFit="1" customWidth="1"/>
    <col min="58" max="58" width="11.5" customWidth="1"/>
    <col min="59" max="60" width="9" bestFit="1" customWidth="1"/>
    <col min="62" max="62" width="12.1640625" customWidth="1"/>
  </cols>
  <sheetData>
    <row r="1" spans="1:62">
      <c r="A1" s="31" t="s">
        <v>272</v>
      </c>
      <c r="H1" s="35" t="s">
        <v>275</v>
      </c>
      <c r="N1" s="35" t="s">
        <v>295</v>
      </c>
      <c r="U1" s="31" t="s">
        <v>288</v>
      </c>
      <c r="AE1" s="31" t="s">
        <v>298</v>
      </c>
      <c r="AP1" s="31" t="s">
        <v>299</v>
      </c>
      <c r="BB1" s="31" t="s">
        <v>306</v>
      </c>
    </row>
    <row r="2" spans="1:62">
      <c r="Y2" s="29" t="s">
        <v>229</v>
      </c>
      <c r="AE2" s="10"/>
      <c r="AI2" s="29" t="s">
        <v>231</v>
      </c>
      <c r="AU2" s="29" t="s">
        <v>228</v>
      </c>
    </row>
    <row r="3" spans="1:62" ht="18.75">
      <c r="B3" s="22"/>
      <c r="C3" s="22"/>
      <c r="D3" s="22"/>
      <c r="Q3" s="10" t="s">
        <v>222</v>
      </c>
      <c r="Y3" s="8">
        <f>MODE(U6:U105)</f>
        <v>4</v>
      </c>
      <c r="AE3" s="32" t="s">
        <v>289</v>
      </c>
      <c r="AI3" s="8">
        <f>AVERAGE(AE4:AE53)</f>
        <v>36.14</v>
      </c>
      <c r="AP3" s="29" t="s">
        <v>301</v>
      </c>
      <c r="AU3" s="8">
        <f>MEDIAN(AP4:AP103)</f>
        <v>130.5</v>
      </c>
      <c r="BB3" s="29" t="s">
        <v>303</v>
      </c>
      <c r="BC3" s="29" t="s">
        <v>304</v>
      </c>
      <c r="BD3" s="29" t="s">
        <v>305</v>
      </c>
      <c r="BH3" s="40" t="s">
        <v>309</v>
      </c>
      <c r="BI3" s="41"/>
      <c r="BJ3" s="41"/>
    </row>
    <row r="4" spans="1:62">
      <c r="C4" s="34" t="s">
        <v>274</v>
      </c>
      <c r="D4" s="34" t="s">
        <v>291</v>
      </c>
      <c r="E4" s="34" t="s">
        <v>252</v>
      </c>
      <c r="J4" s="29" t="s">
        <v>229</v>
      </c>
      <c r="K4" s="29" t="s">
        <v>228</v>
      </c>
      <c r="L4" s="29" t="s">
        <v>277</v>
      </c>
      <c r="AE4" s="8">
        <v>35</v>
      </c>
      <c r="AP4" s="15">
        <v>125</v>
      </c>
      <c r="BB4" s="15">
        <v>45</v>
      </c>
      <c r="BC4" s="8">
        <v>32</v>
      </c>
      <c r="BD4" s="8">
        <v>40</v>
      </c>
      <c r="BH4" s="29" t="s">
        <v>303</v>
      </c>
      <c r="BI4" s="29" t="s">
        <v>307</v>
      </c>
      <c r="BJ4" s="29" t="s">
        <v>308</v>
      </c>
    </row>
    <row r="5" spans="1:62">
      <c r="C5" s="8">
        <f>MODE(A7:A106)</f>
        <v>31</v>
      </c>
      <c r="D5" s="8">
        <f>MEDIAN(A7:A106)</f>
        <v>35</v>
      </c>
      <c r="E5" s="8">
        <f>MAX(A7:A106)-MIN(A7:A106)</f>
        <v>18</v>
      </c>
      <c r="H5" s="32" t="s">
        <v>276</v>
      </c>
      <c r="J5" s="8">
        <f>MODE(H6:H55)</f>
        <v>40</v>
      </c>
      <c r="K5" s="8">
        <f>MEDIAN(H6:H55)</f>
        <v>50</v>
      </c>
      <c r="L5" s="8">
        <f>QUARTILE(H6:H55,3)-QUARTILE(H6:H55,1)</f>
        <v>15.75</v>
      </c>
      <c r="N5" s="39" t="s">
        <v>278</v>
      </c>
      <c r="O5" s="32" t="s">
        <v>296</v>
      </c>
      <c r="Q5" s="10" t="s">
        <v>222</v>
      </c>
      <c r="U5" s="32" t="s">
        <v>254</v>
      </c>
      <c r="Y5" s="38" t="s">
        <v>287</v>
      </c>
      <c r="AE5" s="8">
        <v>28</v>
      </c>
      <c r="AI5" s="38" t="s">
        <v>287</v>
      </c>
      <c r="AP5" s="8">
        <v>148</v>
      </c>
      <c r="AU5" s="38" t="s">
        <v>302</v>
      </c>
      <c r="BB5" s="8">
        <v>35</v>
      </c>
      <c r="BC5" s="8">
        <v>28</v>
      </c>
      <c r="BD5" s="8">
        <v>39</v>
      </c>
      <c r="BH5" s="8">
        <f>MAX(BB4:BB13)-MIN(BB4:BB13)</f>
        <v>10</v>
      </c>
      <c r="BI5" s="15">
        <f>MAX(BC4:BC13)-MIN(BC4:BC13)</f>
        <v>9</v>
      </c>
      <c r="BJ5" s="8">
        <f>MAX(BD4:BD13)-MIN(BD4:BD13)</f>
        <v>8</v>
      </c>
    </row>
    <row r="6" spans="1:62">
      <c r="A6" s="32" t="s">
        <v>273</v>
      </c>
      <c r="H6" s="15">
        <v>56</v>
      </c>
      <c r="N6" s="15" t="s">
        <v>279</v>
      </c>
      <c r="O6" s="8">
        <v>30</v>
      </c>
      <c r="U6" s="15">
        <v>4</v>
      </c>
      <c r="AE6" s="8">
        <v>32</v>
      </c>
      <c r="AP6" s="8">
        <v>137</v>
      </c>
      <c r="BB6" s="8">
        <v>40</v>
      </c>
      <c r="BC6" s="8">
        <v>30</v>
      </c>
      <c r="BD6" s="8">
        <v>42</v>
      </c>
    </row>
    <row r="7" spans="1:62">
      <c r="A7" s="8">
        <v>28</v>
      </c>
      <c r="C7" s="33" t="s">
        <v>290</v>
      </c>
      <c r="D7" s="33"/>
      <c r="E7" s="21"/>
      <c r="H7" s="8">
        <v>40</v>
      </c>
      <c r="J7" s="33" t="s">
        <v>292</v>
      </c>
      <c r="K7" s="21"/>
      <c r="L7" s="21"/>
      <c r="N7" s="15" t="s">
        <v>280</v>
      </c>
      <c r="O7" s="8">
        <v>40</v>
      </c>
      <c r="U7" s="8">
        <v>5</v>
      </c>
      <c r="AE7" s="8">
        <v>45</v>
      </c>
      <c r="AP7" s="8">
        <v>120</v>
      </c>
      <c r="BB7" s="8">
        <v>38</v>
      </c>
      <c r="BC7" s="8">
        <v>34</v>
      </c>
      <c r="BD7" s="8">
        <v>41</v>
      </c>
      <c r="BH7" s="40" t="s">
        <v>310</v>
      </c>
      <c r="BI7" s="41"/>
      <c r="BJ7" s="41"/>
    </row>
    <row r="8" spans="1:62">
      <c r="A8" s="8">
        <v>32</v>
      </c>
      <c r="H8" s="8">
        <v>28</v>
      </c>
      <c r="M8" s="10"/>
      <c r="N8" s="15" t="s">
        <v>281</v>
      </c>
      <c r="O8" s="8">
        <v>20</v>
      </c>
      <c r="U8" s="8">
        <v>3</v>
      </c>
      <c r="AE8" s="8">
        <v>38</v>
      </c>
      <c r="AP8" s="8">
        <v>135</v>
      </c>
      <c r="BB8" s="8">
        <v>42</v>
      </c>
      <c r="BC8" s="8">
        <v>33</v>
      </c>
      <c r="BD8" s="8">
        <v>38</v>
      </c>
      <c r="BH8" s="29" t="s">
        <v>303</v>
      </c>
      <c r="BI8" s="29" t="s">
        <v>307</v>
      </c>
      <c r="BJ8" s="29" t="s">
        <v>308</v>
      </c>
    </row>
    <row r="9" spans="1:62">
      <c r="A9" s="8">
        <v>35</v>
      </c>
      <c r="C9" s="32" t="s">
        <v>273</v>
      </c>
      <c r="D9" s="29" t="s">
        <v>294</v>
      </c>
      <c r="H9" s="8">
        <v>73</v>
      </c>
      <c r="J9" s="29" t="s">
        <v>293</v>
      </c>
      <c r="K9" s="29" t="s">
        <v>294</v>
      </c>
      <c r="N9" s="15" t="s">
        <v>282</v>
      </c>
      <c r="O9" s="8">
        <v>10</v>
      </c>
      <c r="U9" s="8">
        <v>4</v>
      </c>
      <c r="AE9" s="8">
        <v>29</v>
      </c>
      <c r="AP9" s="8">
        <v>132</v>
      </c>
      <c r="BB9" s="8">
        <v>37</v>
      </c>
      <c r="BC9" s="8">
        <v>35</v>
      </c>
      <c r="BD9" s="8">
        <v>43</v>
      </c>
      <c r="BH9" s="8">
        <f>AVERAGE(BB4:BB13)</f>
        <v>40.4</v>
      </c>
      <c r="BI9" s="8">
        <f>AVERAGE(BC4:BC13)</f>
        <v>32.5</v>
      </c>
      <c r="BJ9" s="8">
        <f>AVERAGE(BD4:BD13)</f>
        <v>41</v>
      </c>
    </row>
    <row r="10" spans="1:62">
      <c r="A10" s="8">
        <v>40</v>
      </c>
      <c r="C10" s="8">
        <v>28</v>
      </c>
      <c r="D10" s="8">
        <f>COUNTIF($A$7:$A$106,C10)</f>
        <v>5</v>
      </c>
      <c r="H10" s="8">
        <v>52</v>
      </c>
      <c r="J10" s="15">
        <v>56</v>
      </c>
      <c r="K10" s="8">
        <f t="shared" ref="K10:K38" si="0">COUNTIF($H$6:$H$55,J10)</f>
        <v>2</v>
      </c>
      <c r="N10" s="15" t="s">
        <v>283</v>
      </c>
      <c r="O10" s="8">
        <v>45</v>
      </c>
      <c r="Q10" s="36" t="s">
        <v>229</v>
      </c>
      <c r="U10" s="8">
        <v>4</v>
      </c>
      <c r="AE10" s="8">
        <v>42</v>
      </c>
      <c r="AP10" s="8">
        <v>145</v>
      </c>
      <c r="BB10" s="8">
        <v>39</v>
      </c>
      <c r="BC10" s="8">
        <v>31</v>
      </c>
      <c r="BD10" s="8">
        <v>45</v>
      </c>
    </row>
    <row r="11" spans="1:62">
      <c r="A11" s="8">
        <v>42</v>
      </c>
      <c r="C11" s="8">
        <v>32</v>
      </c>
      <c r="D11" s="8">
        <f t="shared" ref="D11:D28" si="1">COUNTIF($A$7:$A$106,C11)</f>
        <v>5</v>
      </c>
      <c r="H11" s="8">
        <v>61</v>
      </c>
      <c r="J11" s="8">
        <v>40</v>
      </c>
      <c r="K11" s="8">
        <f t="shared" si="0"/>
        <v>3</v>
      </c>
      <c r="N11" s="15" t="s">
        <v>284</v>
      </c>
      <c r="O11" s="8">
        <v>25</v>
      </c>
      <c r="Q11" s="8">
        <f>MODE(O6:O12)</f>
        <v>30</v>
      </c>
      <c r="U11" s="8">
        <v>3</v>
      </c>
      <c r="AE11" s="8">
        <v>30</v>
      </c>
      <c r="AP11" s="8">
        <v>122</v>
      </c>
      <c r="BB11" s="8">
        <v>43</v>
      </c>
      <c r="BC11" s="8">
        <v>29</v>
      </c>
      <c r="BD11" s="8">
        <v>44</v>
      </c>
      <c r="BI11" s="38" t="s">
        <v>286</v>
      </c>
    </row>
    <row r="12" spans="1:62">
      <c r="A12" s="8">
        <v>28</v>
      </c>
      <c r="C12" s="8">
        <v>35</v>
      </c>
      <c r="D12" s="8">
        <f t="shared" si="1"/>
        <v>9</v>
      </c>
      <c r="H12" s="8">
        <v>35</v>
      </c>
      <c r="J12" s="8">
        <v>28</v>
      </c>
      <c r="K12" s="8">
        <f t="shared" si="0"/>
        <v>1</v>
      </c>
      <c r="N12" s="15" t="s">
        <v>285</v>
      </c>
      <c r="O12" s="8">
        <v>30</v>
      </c>
      <c r="U12" s="8">
        <v>2</v>
      </c>
      <c r="AE12" s="8">
        <v>36</v>
      </c>
      <c r="AP12" s="8">
        <v>130</v>
      </c>
      <c r="BB12" s="8">
        <v>44</v>
      </c>
      <c r="BC12" s="8">
        <v>36</v>
      </c>
      <c r="BD12" s="8">
        <v>41</v>
      </c>
    </row>
    <row r="13" spans="1:62">
      <c r="A13" s="8">
        <v>33</v>
      </c>
      <c r="C13" s="8">
        <v>40</v>
      </c>
      <c r="D13" s="8">
        <f t="shared" si="1"/>
        <v>6</v>
      </c>
      <c r="H13" s="8">
        <v>40</v>
      </c>
      <c r="J13" s="8">
        <v>73</v>
      </c>
      <c r="K13" s="8">
        <f t="shared" si="0"/>
        <v>1</v>
      </c>
      <c r="U13" s="8">
        <v>5</v>
      </c>
      <c r="AE13" s="8">
        <v>41</v>
      </c>
      <c r="AP13" s="8">
        <v>141</v>
      </c>
      <c r="BB13" s="8">
        <v>41</v>
      </c>
      <c r="BC13" s="8">
        <v>37</v>
      </c>
      <c r="BD13" s="8">
        <v>37</v>
      </c>
    </row>
    <row r="14" spans="1:62">
      <c r="A14" s="8">
        <v>38</v>
      </c>
      <c r="C14" s="8">
        <v>42</v>
      </c>
      <c r="D14" s="8">
        <f t="shared" si="1"/>
        <v>2</v>
      </c>
      <c r="H14" s="8">
        <v>47</v>
      </c>
      <c r="J14" s="8">
        <v>52</v>
      </c>
      <c r="K14" s="8">
        <f t="shared" si="0"/>
        <v>3</v>
      </c>
      <c r="U14" s="8">
        <v>4</v>
      </c>
      <c r="AE14" s="8">
        <v>47</v>
      </c>
      <c r="AP14" s="8">
        <v>118</v>
      </c>
    </row>
    <row r="15" spans="1:62">
      <c r="A15" s="8">
        <v>30</v>
      </c>
      <c r="C15" s="8">
        <v>33</v>
      </c>
      <c r="D15" s="8">
        <f t="shared" si="1"/>
        <v>7</v>
      </c>
      <c r="H15" s="8">
        <v>65</v>
      </c>
      <c r="J15" s="8">
        <v>61</v>
      </c>
      <c r="K15" s="8">
        <f t="shared" si="0"/>
        <v>1</v>
      </c>
      <c r="P15" s="38" t="s">
        <v>297</v>
      </c>
      <c r="U15" s="8">
        <v>3</v>
      </c>
      <c r="AE15" s="8">
        <v>31</v>
      </c>
      <c r="AP15" s="8">
        <v>125</v>
      </c>
    </row>
    <row r="16" spans="1:62">
      <c r="A16" s="8">
        <v>41</v>
      </c>
      <c r="C16" s="8">
        <v>38</v>
      </c>
      <c r="D16" s="8">
        <f t="shared" si="1"/>
        <v>6</v>
      </c>
      <c r="H16" s="8">
        <v>52</v>
      </c>
      <c r="J16" s="8">
        <v>35</v>
      </c>
      <c r="K16" s="8">
        <f t="shared" si="0"/>
        <v>1</v>
      </c>
      <c r="U16" s="8">
        <v>5</v>
      </c>
      <c r="AE16" s="8">
        <v>39</v>
      </c>
      <c r="AP16" s="8">
        <v>132</v>
      </c>
    </row>
    <row r="17" spans="1:47">
      <c r="A17" s="8">
        <v>37</v>
      </c>
      <c r="C17" s="8">
        <v>30</v>
      </c>
      <c r="D17" s="8">
        <f t="shared" si="1"/>
        <v>6</v>
      </c>
      <c r="H17" s="8">
        <v>44</v>
      </c>
      <c r="J17" s="8">
        <v>47</v>
      </c>
      <c r="K17" s="8">
        <f t="shared" si="0"/>
        <v>3</v>
      </c>
      <c r="U17" s="8">
        <v>4</v>
      </c>
      <c r="AE17" s="8">
        <v>43</v>
      </c>
      <c r="AP17" s="8">
        <v>136</v>
      </c>
    </row>
    <row r="18" spans="1:47">
      <c r="A18" s="8">
        <v>31</v>
      </c>
      <c r="C18" s="8">
        <v>41</v>
      </c>
      <c r="D18" s="8">
        <f t="shared" si="1"/>
        <v>4</v>
      </c>
      <c r="H18" s="8">
        <v>38</v>
      </c>
      <c r="J18" s="8">
        <v>65</v>
      </c>
      <c r="K18" s="8">
        <f t="shared" si="0"/>
        <v>3</v>
      </c>
      <c r="U18" s="8">
        <v>2</v>
      </c>
      <c r="AE18" s="8">
        <v>37</v>
      </c>
      <c r="AP18" s="8">
        <v>128</v>
      </c>
    </row>
    <row r="19" spans="1:47">
      <c r="A19" s="8">
        <v>34</v>
      </c>
      <c r="C19" s="8">
        <v>37</v>
      </c>
      <c r="D19" s="8">
        <f t="shared" si="1"/>
        <v>5</v>
      </c>
      <c r="H19" s="8">
        <v>60</v>
      </c>
      <c r="J19" s="8">
        <v>44</v>
      </c>
      <c r="K19" s="8">
        <f t="shared" si="0"/>
        <v>1</v>
      </c>
      <c r="U19" s="8">
        <v>3</v>
      </c>
      <c r="AE19" s="8">
        <v>30</v>
      </c>
      <c r="AP19" s="8">
        <v>123</v>
      </c>
    </row>
    <row r="20" spans="1:47">
      <c r="A20" s="8">
        <v>29</v>
      </c>
      <c r="C20" s="8">
        <v>31</v>
      </c>
      <c r="D20" s="8">
        <f t="shared" si="1"/>
        <v>10</v>
      </c>
      <c r="H20" s="8">
        <v>56</v>
      </c>
      <c r="J20" s="8">
        <v>38</v>
      </c>
      <c r="K20" s="8">
        <f t="shared" si="0"/>
        <v>1</v>
      </c>
      <c r="U20" s="8">
        <v>4</v>
      </c>
      <c r="AE20" s="8">
        <v>34</v>
      </c>
      <c r="AP20" s="8">
        <v>132</v>
      </c>
    </row>
    <row r="21" spans="1:47">
      <c r="A21" s="8">
        <v>36</v>
      </c>
      <c r="C21" s="8">
        <v>34</v>
      </c>
      <c r="D21" s="8">
        <f t="shared" si="1"/>
        <v>3</v>
      </c>
      <c r="H21" s="8">
        <v>40</v>
      </c>
      <c r="J21" s="8">
        <v>60</v>
      </c>
      <c r="K21" s="8">
        <f t="shared" si="0"/>
        <v>1</v>
      </c>
      <c r="U21" s="8">
        <v>5</v>
      </c>
      <c r="Y21" s="38" t="s">
        <v>286</v>
      </c>
      <c r="AE21" s="8">
        <v>39</v>
      </c>
      <c r="AP21" s="8">
        <v>138</v>
      </c>
    </row>
    <row r="22" spans="1:47">
      <c r="A22" s="8">
        <v>43</v>
      </c>
      <c r="C22" s="8">
        <v>29</v>
      </c>
      <c r="D22" s="8">
        <f t="shared" si="1"/>
        <v>7</v>
      </c>
      <c r="H22" s="8">
        <v>36</v>
      </c>
      <c r="J22" s="8">
        <v>56</v>
      </c>
      <c r="K22" s="8">
        <f t="shared" si="0"/>
        <v>2</v>
      </c>
      <c r="U22" s="8">
        <v>3</v>
      </c>
      <c r="AE22" s="8">
        <v>28</v>
      </c>
      <c r="AP22" s="8">
        <v>126</v>
      </c>
    </row>
    <row r="23" spans="1:47">
      <c r="A23" s="8">
        <v>39</v>
      </c>
      <c r="C23" s="8">
        <v>36</v>
      </c>
      <c r="D23" s="8">
        <f t="shared" si="1"/>
        <v>7</v>
      </c>
      <c r="H23" s="8">
        <v>49</v>
      </c>
      <c r="J23" s="8">
        <v>36</v>
      </c>
      <c r="K23" s="8">
        <f t="shared" si="0"/>
        <v>1</v>
      </c>
      <c r="U23" s="8">
        <v>4</v>
      </c>
      <c r="AE23" s="8">
        <v>33</v>
      </c>
      <c r="AP23" s="8">
        <v>129</v>
      </c>
    </row>
    <row r="24" spans="1:47">
      <c r="A24" s="8">
        <v>27</v>
      </c>
      <c r="C24" s="8">
        <v>43</v>
      </c>
      <c r="D24" s="8">
        <f t="shared" si="1"/>
        <v>3</v>
      </c>
      <c r="H24" s="8">
        <v>68</v>
      </c>
      <c r="J24" s="8">
        <v>49</v>
      </c>
      <c r="K24" s="8">
        <f t="shared" si="0"/>
        <v>3</v>
      </c>
      <c r="U24" s="8">
        <v>5</v>
      </c>
      <c r="AE24" s="8">
        <v>36</v>
      </c>
      <c r="AP24" s="8">
        <v>136</v>
      </c>
    </row>
    <row r="25" spans="1:47">
      <c r="A25" s="8">
        <v>35</v>
      </c>
      <c r="C25" s="8">
        <v>39</v>
      </c>
      <c r="D25" s="8">
        <f t="shared" si="1"/>
        <v>7</v>
      </c>
      <c r="H25" s="8">
        <v>57</v>
      </c>
      <c r="J25" s="8">
        <v>68</v>
      </c>
      <c r="K25" s="8">
        <f t="shared" si="0"/>
        <v>1</v>
      </c>
      <c r="U25" s="8">
        <v>3</v>
      </c>
      <c r="AE25" s="8">
        <v>40</v>
      </c>
      <c r="AI25" s="38" t="s">
        <v>286</v>
      </c>
      <c r="AP25" s="8">
        <v>127</v>
      </c>
      <c r="AU25" s="38" t="s">
        <v>286</v>
      </c>
    </row>
    <row r="26" spans="1:47">
      <c r="A26" s="8">
        <v>31</v>
      </c>
      <c r="C26" s="8">
        <v>27</v>
      </c>
      <c r="D26" s="8">
        <f t="shared" si="1"/>
        <v>3</v>
      </c>
      <c r="H26" s="8">
        <v>52</v>
      </c>
      <c r="J26" s="8">
        <v>57</v>
      </c>
      <c r="K26" s="8">
        <f t="shared" si="0"/>
        <v>1</v>
      </c>
      <c r="U26" s="8">
        <v>4</v>
      </c>
      <c r="AE26" s="8">
        <v>42</v>
      </c>
      <c r="AP26" s="8">
        <v>130</v>
      </c>
    </row>
    <row r="27" spans="1:47">
      <c r="A27" s="8">
        <v>39</v>
      </c>
      <c r="C27" s="8">
        <v>45</v>
      </c>
      <c r="D27" s="8">
        <f t="shared" si="1"/>
        <v>2</v>
      </c>
      <c r="H27" s="8">
        <v>63</v>
      </c>
      <c r="J27" s="8">
        <v>63</v>
      </c>
      <c r="K27" s="8">
        <f t="shared" si="0"/>
        <v>1</v>
      </c>
      <c r="U27" s="8">
        <v>3</v>
      </c>
      <c r="AE27" s="8">
        <v>29</v>
      </c>
      <c r="AP27" s="8">
        <v>122</v>
      </c>
    </row>
    <row r="28" spans="1:47">
      <c r="A28" s="8">
        <v>45</v>
      </c>
      <c r="C28" s="8">
        <v>44</v>
      </c>
      <c r="D28" s="8">
        <f t="shared" si="1"/>
        <v>3</v>
      </c>
      <c r="H28" s="8">
        <v>41</v>
      </c>
      <c r="J28" s="8">
        <v>41</v>
      </c>
      <c r="K28" s="8">
        <f t="shared" si="0"/>
        <v>2</v>
      </c>
      <c r="U28" s="8">
        <v>2</v>
      </c>
      <c r="AE28" s="8">
        <v>31</v>
      </c>
      <c r="AP28" s="8">
        <v>125</v>
      </c>
    </row>
    <row r="29" spans="1:47">
      <c r="A29" s="8">
        <v>29</v>
      </c>
      <c r="H29" s="8">
        <v>48</v>
      </c>
      <c r="J29" s="8">
        <v>48</v>
      </c>
      <c r="K29" s="8">
        <f t="shared" si="0"/>
        <v>2</v>
      </c>
      <c r="U29" s="8">
        <v>4</v>
      </c>
      <c r="AE29" s="8">
        <v>45</v>
      </c>
      <c r="AP29" s="8">
        <v>133</v>
      </c>
    </row>
    <row r="30" spans="1:47">
      <c r="A30" s="8">
        <v>33</v>
      </c>
      <c r="H30" s="8">
        <v>55</v>
      </c>
      <c r="J30" s="8">
        <v>55</v>
      </c>
      <c r="K30" s="8">
        <f t="shared" si="0"/>
        <v>2</v>
      </c>
      <c r="U30" s="8">
        <v>5</v>
      </c>
      <c r="AE30" s="8">
        <v>38</v>
      </c>
      <c r="AP30" s="8">
        <v>140</v>
      </c>
    </row>
    <row r="31" spans="1:47">
      <c r="A31" s="8">
        <v>37</v>
      </c>
      <c r="H31" s="8">
        <v>42</v>
      </c>
      <c r="J31" s="8">
        <v>42</v>
      </c>
      <c r="K31" s="8">
        <f t="shared" si="0"/>
        <v>2</v>
      </c>
      <c r="U31" s="8">
        <v>3</v>
      </c>
      <c r="AE31" s="8">
        <v>33</v>
      </c>
      <c r="AP31" s="8">
        <v>126</v>
      </c>
    </row>
    <row r="32" spans="1:47">
      <c r="A32" s="8">
        <v>40</v>
      </c>
      <c r="H32" s="8">
        <v>39</v>
      </c>
      <c r="J32" s="8">
        <v>39</v>
      </c>
      <c r="K32" s="8">
        <f t="shared" si="0"/>
        <v>2</v>
      </c>
      <c r="U32" s="8">
        <v>4</v>
      </c>
      <c r="AE32" s="8">
        <v>41</v>
      </c>
      <c r="AP32" s="8">
        <v>133</v>
      </c>
    </row>
    <row r="33" spans="1:42">
      <c r="A33" s="8">
        <v>36</v>
      </c>
      <c r="H33" s="8">
        <v>58</v>
      </c>
      <c r="J33" s="8">
        <v>58</v>
      </c>
      <c r="K33" s="8">
        <f t="shared" si="0"/>
        <v>3</v>
      </c>
      <c r="U33" s="8">
        <v>5</v>
      </c>
      <c r="AE33" s="8">
        <v>35</v>
      </c>
      <c r="AP33" s="8">
        <v>135</v>
      </c>
    </row>
    <row r="34" spans="1:42">
      <c r="A34" s="8">
        <v>29</v>
      </c>
      <c r="H34" s="8">
        <v>62</v>
      </c>
      <c r="J34" s="8">
        <v>62</v>
      </c>
      <c r="K34" s="8">
        <f t="shared" si="0"/>
        <v>2</v>
      </c>
      <c r="U34" s="8">
        <v>4</v>
      </c>
      <c r="AE34" s="8">
        <v>37</v>
      </c>
      <c r="AP34" s="8">
        <v>130</v>
      </c>
    </row>
    <row r="35" spans="1:42" ht="18.75">
      <c r="A35" s="8">
        <v>31</v>
      </c>
      <c r="H35" s="8">
        <v>49</v>
      </c>
      <c r="J35" s="8">
        <v>59</v>
      </c>
      <c r="K35" s="8">
        <f t="shared" si="0"/>
        <v>2</v>
      </c>
      <c r="P35" s="37" t="s">
        <v>287</v>
      </c>
      <c r="U35" s="8">
        <v>3</v>
      </c>
      <c r="AE35" s="8">
        <v>34</v>
      </c>
      <c r="AP35" s="8">
        <v>134</v>
      </c>
    </row>
    <row r="36" spans="1:42">
      <c r="A36" s="8">
        <v>38</v>
      </c>
      <c r="H36" s="8">
        <v>59</v>
      </c>
      <c r="J36" s="8">
        <v>45</v>
      </c>
      <c r="K36" s="8">
        <f t="shared" si="0"/>
        <v>2</v>
      </c>
      <c r="U36" s="8">
        <v>3</v>
      </c>
      <c r="AE36" s="8">
        <v>46</v>
      </c>
      <c r="AP36" s="8">
        <v>141</v>
      </c>
    </row>
    <row r="37" spans="1:42">
      <c r="A37" s="8">
        <v>35</v>
      </c>
      <c r="H37" s="8">
        <v>45</v>
      </c>
      <c r="J37" s="8">
        <v>51</v>
      </c>
      <c r="K37" s="8">
        <f t="shared" si="0"/>
        <v>2</v>
      </c>
      <c r="U37" s="8">
        <v>4</v>
      </c>
      <c r="AE37" s="8">
        <v>30</v>
      </c>
      <c r="AP37" s="8">
        <v>119</v>
      </c>
    </row>
    <row r="38" spans="1:42">
      <c r="A38" s="8">
        <v>44</v>
      </c>
      <c r="H38" s="8">
        <v>47</v>
      </c>
      <c r="J38" s="8">
        <v>43</v>
      </c>
      <c r="K38" s="8">
        <f t="shared" si="0"/>
        <v>1</v>
      </c>
      <c r="U38" s="8">
        <v>5</v>
      </c>
      <c r="AE38" s="8">
        <v>39</v>
      </c>
      <c r="AP38" s="8">
        <v>125</v>
      </c>
    </row>
    <row r="39" spans="1:42">
      <c r="A39" s="8">
        <v>32</v>
      </c>
      <c r="H39" s="8">
        <v>51</v>
      </c>
      <c r="U39" s="8">
        <v>2</v>
      </c>
      <c r="AE39" s="8">
        <v>43</v>
      </c>
      <c r="AP39" s="8">
        <v>131</v>
      </c>
    </row>
    <row r="40" spans="1:42">
      <c r="A40" s="8">
        <v>39</v>
      </c>
      <c r="H40" s="8">
        <v>65</v>
      </c>
      <c r="U40" s="8">
        <v>3</v>
      </c>
      <c r="AE40" s="8">
        <v>28</v>
      </c>
      <c r="AP40" s="8">
        <v>136</v>
      </c>
    </row>
    <row r="41" spans="1:42">
      <c r="A41" s="8">
        <v>36</v>
      </c>
      <c r="H41" s="8">
        <v>41</v>
      </c>
      <c r="U41" s="8">
        <v>4</v>
      </c>
      <c r="AE41" s="8">
        <v>32</v>
      </c>
      <c r="AP41" s="8">
        <v>128</v>
      </c>
    </row>
    <row r="42" spans="1:42">
      <c r="A42" s="8">
        <v>30</v>
      </c>
      <c r="H42" s="8">
        <v>48</v>
      </c>
      <c r="U42" s="8">
        <v>4</v>
      </c>
      <c r="AE42" s="8">
        <v>36</v>
      </c>
      <c r="AP42" s="8">
        <v>124</v>
      </c>
    </row>
    <row r="43" spans="1:42">
      <c r="A43" s="8">
        <v>33</v>
      </c>
      <c r="H43" s="8">
        <v>55</v>
      </c>
      <c r="U43" s="8">
        <v>3</v>
      </c>
      <c r="AE43" s="8">
        <v>29</v>
      </c>
      <c r="AP43" s="8">
        <v>132</v>
      </c>
    </row>
    <row r="44" spans="1:42">
      <c r="A44" s="8">
        <v>28</v>
      </c>
      <c r="H44" s="8">
        <v>42</v>
      </c>
      <c r="U44" s="8">
        <v>5</v>
      </c>
      <c r="AE44" s="8">
        <v>31</v>
      </c>
      <c r="AP44" s="8">
        <v>136</v>
      </c>
    </row>
    <row r="45" spans="1:42">
      <c r="A45" s="8">
        <v>41</v>
      </c>
      <c r="H45" s="8">
        <v>39</v>
      </c>
      <c r="U45" s="8">
        <v>4</v>
      </c>
      <c r="AE45" s="8">
        <v>37</v>
      </c>
      <c r="AP45" s="8">
        <v>127</v>
      </c>
    </row>
    <row r="46" spans="1:42">
      <c r="A46" s="8">
        <v>35</v>
      </c>
      <c r="H46" s="8">
        <v>58</v>
      </c>
      <c r="U46" s="8">
        <v>3</v>
      </c>
      <c r="AE46" s="8">
        <v>40</v>
      </c>
      <c r="AP46" s="8">
        <v>130</v>
      </c>
    </row>
    <row r="47" spans="1:42">
      <c r="A47" s="8">
        <v>31</v>
      </c>
      <c r="H47" s="8">
        <v>62</v>
      </c>
      <c r="U47" s="8">
        <v>4</v>
      </c>
      <c r="AE47" s="8">
        <v>42</v>
      </c>
      <c r="AP47" s="8">
        <v>122</v>
      </c>
    </row>
    <row r="48" spans="1:42">
      <c r="A48" s="8">
        <v>37</v>
      </c>
      <c r="H48" s="8">
        <v>49</v>
      </c>
      <c r="U48" s="8">
        <v>5</v>
      </c>
      <c r="AE48" s="8">
        <v>33</v>
      </c>
      <c r="AP48" s="8">
        <v>125</v>
      </c>
    </row>
    <row r="49" spans="1:42">
      <c r="A49" s="8">
        <v>42</v>
      </c>
      <c r="H49" s="8">
        <v>59</v>
      </c>
      <c r="U49" s="8">
        <v>4</v>
      </c>
      <c r="AE49" s="8">
        <v>39</v>
      </c>
      <c r="AP49" s="8">
        <v>133</v>
      </c>
    </row>
    <row r="50" spans="1:42">
      <c r="A50" s="8">
        <v>29</v>
      </c>
      <c r="H50" s="8">
        <v>45</v>
      </c>
      <c r="U50" s="8">
        <v>2</v>
      </c>
      <c r="AE50" s="8">
        <v>28</v>
      </c>
      <c r="AP50" s="8">
        <v>140</v>
      </c>
    </row>
    <row r="51" spans="1:42">
      <c r="A51" s="8">
        <v>34</v>
      </c>
      <c r="H51" s="8">
        <v>47</v>
      </c>
      <c r="U51" s="8">
        <v>3</v>
      </c>
      <c r="AE51" s="8">
        <v>35</v>
      </c>
      <c r="AP51" s="8">
        <v>126</v>
      </c>
    </row>
    <row r="52" spans="1:42">
      <c r="A52" s="8">
        <v>40</v>
      </c>
      <c r="H52" s="8">
        <v>51</v>
      </c>
      <c r="U52" s="8">
        <v>4</v>
      </c>
      <c r="AE52" s="8">
        <v>38</v>
      </c>
      <c r="AP52" s="8">
        <v>133</v>
      </c>
    </row>
    <row r="53" spans="1:42">
      <c r="A53" s="8">
        <v>31</v>
      </c>
      <c r="H53" s="8">
        <v>65</v>
      </c>
      <c r="U53" s="8">
        <v>5</v>
      </c>
      <c r="AE53" s="8">
        <v>43</v>
      </c>
      <c r="AP53" s="8">
        <v>135</v>
      </c>
    </row>
    <row r="54" spans="1:42">
      <c r="A54" s="8">
        <v>33</v>
      </c>
      <c r="H54" s="8">
        <v>43</v>
      </c>
      <c r="U54" s="8">
        <v>3</v>
      </c>
      <c r="AP54" s="8">
        <v>130</v>
      </c>
    </row>
    <row r="55" spans="1:42">
      <c r="A55" s="8">
        <v>38</v>
      </c>
      <c r="H55" s="8">
        <v>58</v>
      </c>
      <c r="U55" s="8">
        <v>4</v>
      </c>
      <c r="AP55" s="8">
        <v>134</v>
      </c>
    </row>
    <row r="56" spans="1:42">
      <c r="A56" s="8">
        <v>36</v>
      </c>
      <c r="U56" s="8">
        <v>5</v>
      </c>
      <c r="AP56" s="8">
        <v>141</v>
      </c>
    </row>
    <row r="57" spans="1:42">
      <c r="A57" s="8">
        <v>39</v>
      </c>
      <c r="U57" s="8">
        <v>4</v>
      </c>
      <c r="AP57" s="8">
        <v>119</v>
      </c>
    </row>
    <row r="58" spans="1:42">
      <c r="A58" s="8">
        <v>27</v>
      </c>
      <c r="U58" s="8">
        <v>3</v>
      </c>
      <c r="AP58" s="8">
        <v>125</v>
      </c>
    </row>
    <row r="59" spans="1:42">
      <c r="A59" s="8">
        <v>35</v>
      </c>
      <c r="U59" s="8">
        <v>4</v>
      </c>
      <c r="AP59" s="8">
        <v>131</v>
      </c>
    </row>
    <row r="60" spans="1:42">
      <c r="A60" s="8">
        <v>30</v>
      </c>
      <c r="U60" s="8">
        <v>5</v>
      </c>
      <c r="AP60" s="8">
        <v>136</v>
      </c>
    </row>
    <row r="61" spans="1:42">
      <c r="A61" s="8">
        <v>43</v>
      </c>
      <c r="U61" s="8">
        <v>3</v>
      </c>
      <c r="AP61" s="8">
        <v>128</v>
      </c>
    </row>
    <row r="62" spans="1:42">
      <c r="A62" s="8">
        <v>29</v>
      </c>
      <c r="U62" s="8">
        <v>4</v>
      </c>
      <c r="AP62" s="8">
        <v>124</v>
      </c>
    </row>
    <row r="63" spans="1:42">
      <c r="A63" s="8">
        <v>32</v>
      </c>
      <c r="U63" s="8">
        <v>5</v>
      </c>
      <c r="AP63" s="8">
        <v>132</v>
      </c>
    </row>
    <row r="64" spans="1:42">
      <c r="A64" s="8">
        <v>36</v>
      </c>
      <c r="U64" s="8">
        <v>4</v>
      </c>
      <c r="AP64" s="8">
        <v>136</v>
      </c>
    </row>
    <row r="65" spans="1:42">
      <c r="A65" s="8">
        <v>31</v>
      </c>
      <c r="U65" s="8">
        <v>3</v>
      </c>
      <c r="AP65" s="8">
        <v>127</v>
      </c>
    </row>
    <row r="66" spans="1:42">
      <c r="A66" s="8">
        <v>40</v>
      </c>
      <c r="U66" s="8">
        <v>3</v>
      </c>
      <c r="AP66" s="8">
        <v>130</v>
      </c>
    </row>
    <row r="67" spans="1:42">
      <c r="A67" s="8">
        <v>38</v>
      </c>
      <c r="U67" s="8">
        <v>4</v>
      </c>
      <c r="AP67" s="8">
        <v>122</v>
      </c>
    </row>
    <row r="68" spans="1:42">
      <c r="A68" s="8">
        <v>44</v>
      </c>
      <c r="U68" s="8">
        <v>5</v>
      </c>
      <c r="AP68" s="8">
        <v>125</v>
      </c>
    </row>
    <row r="69" spans="1:42">
      <c r="A69" s="8">
        <v>37</v>
      </c>
      <c r="U69" s="8">
        <v>2</v>
      </c>
      <c r="AP69" s="8">
        <v>133</v>
      </c>
    </row>
    <row r="70" spans="1:42">
      <c r="A70" s="8">
        <v>33</v>
      </c>
      <c r="U70" s="8">
        <v>3</v>
      </c>
      <c r="AP70" s="8">
        <v>140</v>
      </c>
    </row>
    <row r="71" spans="1:42">
      <c r="A71" s="8">
        <v>35</v>
      </c>
      <c r="U71" s="8">
        <v>4</v>
      </c>
      <c r="AP71" s="8">
        <v>126</v>
      </c>
    </row>
    <row r="72" spans="1:42">
      <c r="A72" s="8">
        <v>41</v>
      </c>
      <c r="U72" s="8">
        <v>4</v>
      </c>
      <c r="AP72" s="8">
        <v>133</v>
      </c>
    </row>
    <row r="73" spans="1:42">
      <c r="A73" s="8">
        <v>30</v>
      </c>
      <c r="U73" s="8">
        <v>3</v>
      </c>
      <c r="AP73" s="8">
        <v>135</v>
      </c>
    </row>
    <row r="74" spans="1:42">
      <c r="A74" s="8">
        <v>31</v>
      </c>
      <c r="U74" s="8">
        <v>5</v>
      </c>
      <c r="AP74" s="8">
        <v>130</v>
      </c>
    </row>
    <row r="75" spans="1:42">
      <c r="A75" s="8">
        <v>39</v>
      </c>
      <c r="U75" s="8">
        <v>4</v>
      </c>
      <c r="AP75" s="8">
        <v>134</v>
      </c>
    </row>
    <row r="76" spans="1:42">
      <c r="A76" s="8">
        <v>28</v>
      </c>
      <c r="U76" s="8">
        <v>3</v>
      </c>
      <c r="AP76" s="8">
        <v>141</v>
      </c>
    </row>
    <row r="77" spans="1:42">
      <c r="A77" s="8">
        <v>45</v>
      </c>
      <c r="U77" s="8">
        <v>4</v>
      </c>
      <c r="AP77" s="8">
        <v>119</v>
      </c>
    </row>
    <row r="78" spans="1:42">
      <c r="A78" s="8">
        <v>29</v>
      </c>
      <c r="U78" s="8">
        <v>5</v>
      </c>
      <c r="AP78" s="8">
        <v>125</v>
      </c>
    </row>
    <row r="79" spans="1:42">
      <c r="A79" s="8">
        <v>33</v>
      </c>
      <c r="U79" s="8">
        <v>4</v>
      </c>
      <c r="AP79" s="8">
        <v>131</v>
      </c>
    </row>
    <row r="80" spans="1:42">
      <c r="A80" s="8">
        <v>38</v>
      </c>
      <c r="U80" s="8">
        <v>2</v>
      </c>
      <c r="AP80" s="8">
        <v>136</v>
      </c>
    </row>
    <row r="81" spans="1:42">
      <c r="A81" s="8">
        <v>34</v>
      </c>
      <c r="U81" s="8">
        <v>3</v>
      </c>
      <c r="AP81" s="8">
        <v>128</v>
      </c>
    </row>
    <row r="82" spans="1:42">
      <c r="A82" s="8">
        <v>32</v>
      </c>
      <c r="U82" s="8">
        <v>4</v>
      </c>
      <c r="AP82" s="8">
        <v>124</v>
      </c>
    </row>
    <row r="83" spans="1:42">
      <c r="A83" s="8">
        <v>35</v>
      </c>
      <c r="U83" s="8">
        <v>5</v>
      </c>
      <c r="AP83" s="8">
        <v>132</v>
      </c>
    </row>
    <row r="84" spans="1:42">
      <c r="A84" s="8">
        <v>31</v>
      </c>
      <c r="U84" s="8">
        <v>3</v>
      </c>
      <c r="AP84" s="8">
        <v>136</v>
      </c>
    </row>
    <row r="85" spans="1:42">
      <c r="A85" s="8">
        <v>40</v>
      </c>
      <c r="U85" s="8">
        <v>4</v>
      </c>
      <c r="AP85" s="8">
        <v>127</v>
      </c>
    </row>
    <row r="86" spans="1:42">
      <c r="A86" s="8">
        <v>36</v>
      </c>
      <c r="U86" s="8">
        <v>5</v>
      </c>
      <c r="AP86" s="8">
        <v>130</v>
      </c>
    </row>
    <row r="87" spans="1:42">
      <c r="A87" s="8">
        <v>39</v>
      </c>
      <c r="U87" s="8">
        <v>4</v>
      </c>
      <c r="AP87" s="8">
        <v>122</v>
      </c>
    </row>
    <row r="88" spans="1:42">
      <c r="A88" s="8">
        <v>27</v>
      </c>
      <c r="U88" s="8">
        <v>3</v>
      </c>
      <c r="AP88" s="8">
        <v>125</v>
      </c>
    </row>
    <row r="89" spans="1:42">
      <c r="A89" s="8">
        <v>35</v>
      </c>
      <c r="U89" s="8">
        <v>4</v>
      </c>
      <c r="AP89" s="8">
        <v>133</v>
      </c>
    </row>
    <row r="90" spans="1:42">
      <c r="A90" s="8">
        <v>30</v>
      </c>
      <c r="U90" s="8">
        <v>5</v>
      </c>
      <c r="AP90" s="8">
        <v>140</v>
      </c>
    </row>
    <row r="91" spans="1:42">
      <c r="A91" s="8">
        <v>43</v>
      </c>
      <c r="U91" s="8">
        <v>3</v>
      </c>
      <c r="AP91" s="8">
        <v>126</v>
      </c>
    </row>
    <row r="92" spans="1:42">
      <c r="A92" s="8">
        <v>29</v>
      </c>
      <c r="U92" s="8">
        <v>4</v>
      </c>
      <c r="AP92" s="8">
        <v>133</v>
      </c>
    </row>
    <row r="93" spans="1:42">
      <c r="A93" s="8">
        <v>32</v>
      </c>
      <c r="U93" s="8">
        <v>5</v>
      </c>
      <c r="AP93" s="8">
        <v>135</v>
      </c>
    </row>
    <row r="94" spans="1:42">
      <c r="A94" s="8">
        <v>36</v>
      </c>
      <c r="U94" s="8">
        <v>4</v>
      </c>
      <c r="AP94" s="8">
        <v>130</v>
      </c>
    </row>
    <row r="95" spans="1:42">
      <c r="A95" s="8">
        <v>31</v>
      </c>
      <c r="U95" s="8">
        <v>3</v>
      </c>
      <c r="AP95" s="8">
        <v>134</v>
      </c>
    </row>
    <row r="96" spans="1:42">
      <c r="A96" s="8">
        <v>40</v>
      </c>
      <c r="U96" s="8">
        <v>3</v>
      </c>
      <c r="AP96" s="8">
        <v>141</v>
      </c>
    </row>
    <row r="97" spans="1:42">
      <c r="A97" s="8">
        <v>38</v>
      </c>
      <c r="U97" s="8">
        <v>4</v>
      </c>
      <c r="AP97" s="8">
        <v>119</v>
      </c>
    </row>
    <row r="98" spans="1:42">
      <c r="A98" s="8">
        <v>44</v>
      </c>
      <c r="U98" s="8">
        <v>5</v>
      </c>
      <c r="AP98" s="8">
        <v>125</v>
      </c>
    </row>
    <row r="99" spans="1:42">
      <c r="A99" s="8">
        <v>37</v>
      </c>
      <c r="U99" s="8">
        <v>2</v>
      </c>
      <c r="AP99" s="8">
        <v>131</v>
      </c>
    </row>
    <row r="100" spans="1:42">
      <c r="A100" s="8">
        <v>33</v>
      </c>
      <c r="U100" s="8">
        <v>3</v>
      </c>
      <c r="AP100" s="8">
        <v>136</v>
      </c>
    </row>
    <row r="101" spans="1:42">
      <c r="A101" s="8">
        <v>35</v>
      </c>
      <c r="U101" s="8">
        <v>4</v>
      </c>
      <c r="AP101" s="8">
        <v>128</v>
      </c>
    </row>
    <row r="102" spans="1:42">
      <c r="A102" s="8">
        <v>41</v>
      </c>
      <c r="U102" s="8">
        <v>4</v>
      </c>
      <c r="AP102" s="8">
        <v>124</v>
      </c>
    </row>
    <row r="103" spans="1:42">
      <c r="A103" s="8">
        <v>30</v>
      </c>
      <c r="U103" s="8">
        <v>3</v>
      </c>
      <c r="AP103" s="8">
        <v>132</v>
      </c>
    </row>
    <row r="104" spans="1:42">
      <c r="A104" s="8">
        <v>31</v>
      </c>
      <c r="U104" s="8">
        <v>5</v>
      </c>
    </row>
    <row r="105" spans="1:42">
      <c r="A105" s="8">
        <v>39</v>
      </c>
      <c r="U105" s="8">
        <v>4</v>
      </c>
    </row>
    <row r="106" spans="1:42">
      <c r="A106" s="8">
        <v>28</v>
      </c>
    </row>
  </sheetData>
  <phoneticPr fontId="23"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8ADCE-2BEF-46FC-B2BC-7C8C1DB2EBC6}">
  <dimension ref="A1:AM103"/>
  <sheetViews>
    <sheetView workbookViewId="0">
      <selection activeCell="F18" sqref="F18"/>
    </sheetView>
  </sheetViews>
  <sheetFormatPr defaultRowHeight="12.75"/>
  <cols>
    <col min="1" max="1" width="10.83203125" bestFit="1" customWidth="1"/>
    <col min="2" max="2" width="10.6640625" customWidth="1"/>
    <col min="3" max="3" width="11.83203125" bestFit="1" customWidth="1"/>
    <col min="4" max="4" width="9.5" customWidth="1"/>
    <col min="5" max="5" width="16.83203125" customWidth="1"/>
    <col min="7" max="7" width="10.33203125" customWidth="1"/>
    <col min="9" max="9" width="10.83203125" bestFit="1" customWidth="1"/>
    <col min="11" max="11" width="12.1640625" bestFit="1" customWidth="1"/>
    <col min="14" max="14" width="10.33203125" customWidth="1"/>
    <col min="18" max="18" width="10.83203125" bestFit="1" customWidth="1"/>
    <col min="20" max="20" width="12.1640625" bestFit="1" customWidth="1"/>
    <col min="25" max="25" width="10.83203125" customWidth="1"/>
    <col min="27" max="27" width="12.83203125" bestFit="1" customWidth="1"/>
    <col min="29" max="29" width="13.5" bestFit="1" customWidth="1"/>
    <col min="36" max="36" width="12.5" bestFit="1" customWidth="1"/>
    <col min="38" max="38" width="13.5" bestFit="1" customWidth="1"/>
  </cols>
  <sheetData>
    <row r="1" spans="1:39">
      <c r="A1" s="35" t="s">
        <v>225</v>
      </c>
      <c r="I1" s="35" t="s">
        <v>226</v>
      </c>
      <c r="R1" s="35" t="s">
        <v>233</v>
      </c>
      <c r="AA1" s="35" t="s">
        <v>250</v>
      </c>
      <c r="AJ1" s="35" t="s">
        <v>253</v>
      </c>
    </row>
    <row r="3" spans="1:39">
      <c r="A3" s="36" t="s">
        <v>311</v>
      </c>
      <c r="I3" s="29" t="s">
        <v>314</v>
      </c>
      <c r="Q3" s="10" t="s">
        <v>222</v>
      </c>
      <c r="R3" s="36" t="s">
        <v>322</v>
      </c>
      <c r="AA3" s="11" t="s">
        <v>324</v>
      </c>
      <c r="AJ3" s="36" t="s">
        <v>326</v>
      </c>
    </row>
    <row r="4" spans="1:39">
      <c r="A4" s="8">
        <v>4</v>
      </c>
      <c r="I4" s="8">
        <v>2.5</v>
      </c>
      <c r="R4" s="8">
        <v>4</v>
      </c>
      <c r="AA4" s="8">
        <v>280</v>
      </c>
      <c r="AJ4" s="8">
        <v>12</v>
      </c>
    </row>
    <row r="5" spans="1:39">
      <c r="A5" s="8">
        <v>5</v>
      </c>
      <c r="I5" s="8">
        <v>4.8</v>
      </c>
      <c r="R5" s="8">
        <v>5</v>
      </c>
      <c r="AA5" s="8">
        <v>350</v>
      </c>
      <c r="AJ5" s="8">
        <v>18</v>
      </c>
    </row>
    <row r="6" spans="1:39">
      <c r="A6" s="8">
        <v>3</v>
      </c>
      <c r="I6" s="8">
        <v>3.2</v>
      </c>
      <c r="R6" s="8">
        <v>3</v>
      </c>
      <c r="AA6" s="8">
        <v>310</v>
      </c>
      <c r="AJ6" s="8">
        <v>15</v>
      </c>
    </row>
    <row r="7" spans="1:39">
      <c r="A7" s="8">
        <v>4</v>
      </c>
      <c r="C7" s="36" t="s">
        <v>312</v>
      </c>
      <c r="D7" s="36" t="s">
        <v>313</v>
      </c>
      <c r="I7" s="8">
        <v>2.1</v>
      </c>
      <c r="J7" s="10"/>
      <c r="K7" s="29" t="s">
        <v>312</v>
      </c>
      <c r="L7" s="29" t="s">
        <v>313</v>
      </c>
      <c r="R7" s="8">
        <v>4</v>
      </c>
      <c r="T7" s="36" t="s">
        <v>312</v>
      </c>
      <c r="U7" s="36" t="s">
        <v>313</v>
      </c>
      <c r="AA7" s="8">
        <v>270</v>
      </c>
      <c r="AC7" s="11" t="s">
        <v>312</v>
      </c>
      <c r="AD7" s="11" t="s">
        <v>313</v>
      </c>
      <c r="AJ7" s="8">
        <v>22</v>
      </c>
      <c r="AL7" s="36" t="s">
        <v>312</v>
      </c>
      <c r="AM7" s="36" t="s">
        <v>313</v>
      </c>
    </row>
    <row r="8" spans="1:39">
      <c r="A8" s="8">
        <v>4</v>
      </c>
      <c r="C8" s="15">
        <f>SKEW(A4:A103)</f>
        <v>-0.21090973977304461</v>
      </c>
      <c r="D8" s="8">
        <f>KURT(A4:A103)</f>
        <v>-0.74525627211662515</v>
      </c>
      <c r="I8" s="8">
        <v>4.5</v>
      </c>
      <c r="K8" s="8">
        <f>SKEW(I4:I99)</f>
        <v>0.22402536454542335</v>
      </c>
      <c r="L8" s="8">
        <f>KURT(I4:I99)</f>
        <v>-0.93120912452529181</v>
      </c>
      <c r="R8" s="8">
        <v>4</v>
      </c>
      <c r="T8" s="8">
        <f>SKEW(R4:R103)</f>
        <v>-0.21090973977304461</v>
      </c>
      <c r="U8" s="8">
        <f>KURT(R4:R103)</f>
        <v>-0.74525627211662515</v>
      </c>
      <c r="AA8" s="8">
        <v>390</v>
      </c>
      <c r="AC8" s="8">
        <f>SKEW(AA4:AA103)</f>
        <v>0.2092186247974063</v>
      </c>
      <c r="AD8" s="8">
        <f>KURT(AA4:AA103)</f>
        <v>-1.0374244845101974</v>
      </c>
      <c r="AJ8" s="8">
        <v>20</v>
      </c>
      <c r="AL8" s="8">
        <f>SKEW(AJ4:AJ103)</f>
        <v>-0.3350128722188207</v>
      </c>
      <c r="AM8" s="8">
        <f>KURT(AJ4:AJ103)</f>
        <v>-0.88101144669010489</v>
      </c>
    </row>
    <row r="9" spans="1:39">
      <c r="A9" s="8">
        <v>3</v>
      </c>
      <c r="I9" s="8">
        <v>2.9</v>
      </c>
      <c r="R9" s="8">
        <v>3</v>
      </c>
      <c r="AA9" s="8">
        <v>320</v>
      </c>
      <c r="AJ9" s="8">
        <v>14</v>
      </c>
    </row>
    <row r="10" spans="1:39">
      <c r="A10" s="8">
        <v>2</v>
      </c>
      <c r="C10" s="38" t="s">
        <v>317</v>
      </c>
      <c r="I10" s="8">
        <v>2.2999999999999998</v>
      </c>
      <c r="K10" s="38" t="s">
        <v>318</v>
      </c>
      <c r="R10" s="8">
        <v>2</v>
      </c>
      <c r="T10" s="42" t="s">
        <v>318</v>
      </c>
      <c r="AA10" s="8">
        <v>290</v>
      </c>
      <c r="AC10" s="43" t="s">
        <v>325</v>
      </c>
      <c r="AJ10" s="8">
        <v>16</v>
      </c>
      <c r="AL10" s="42" t="s">
        <v>325</v>
      </c>
    </row>
    <row r="11" spans="1:39">
      <c r="A11" s="8">
        <v>5</v>
      </c>
      <c r="B11" s="10" t="s">
        <v>315</v>
      </c>
      <c r="H11" s="10" t="s">
        <v>316</v>
      </c>
      <c r="I11" s="8">
        <v>3.1</v>
      </c>
      <c r="J11" s="10" t="s">
        <v>319</v>
      </c>
      <c r="O11" s="10" t="s">
        <v>320</v>
      </c>
      <c r="R11" s="8">
        <v>5</v>
      </c>
      <c r="S11" s="10" t="s">
        <v>323</v>
      </c>
      <c r="AA11" s="8">
        <v>340</v>
      </c>
      <c r="AB11" s="10" t="s">
        <v>319</v>
      </c>
      <c r="AG11" s="10" t="s">
        <v>320</v>
      </c>
      <c r="AJ11" s="8">
        <v>21</v>
      </c>
      <c r="AK11" s="10" t="s">
        <v>323</v>
      </c>
    </row>
    <row r="12" spans="1:39">
      <c r="A12" s="8">
        <v>4</v>
      </c>
      <c r="B12" s="10" t="s">
        <v>321</v>
      </c>
      <c r="I12" s="8">
        <v>4.2</v>
      </c>
      <c r="J12" t="s">
        <v>321</v>
      </c>
      <c r="R12" s="8">
        <v>4</v>
      </c>
      <c r="S12" t="s">
        <v>321</v>
      </c>
      <c r="AA12" s="8">
        <v>310</v>
      </c>
      <c r="AB12" t="s">
        <v>321</v>
      </c>
      <c r="AJ12" s="8">
        <v>19</v>
      </c>
      <c r="AK12" t="s">
        <v>321</v>
      </c>
    </row>
    <row r="13" spans="1:39">
      <c r="A13" s="8">
        <v>3</v>
      </c>
      <c r="I13" s="8">
        <v>3.9</v>
      </c>
      <c r="R13" s="8">
        <v>3</v>
      </c>
      <c r="AA13" s="8">
        <v>380</v>
      </c>
      <c r="AJ13" s="8">
        <v>17</v>
      </c>
    </row>
    <row r="14" spans="1:39">
      <c r="A14" s="8">
        <v>5</v>
      </c>
      <c r="I14" s="8">
        <v>2.8</v>
      </c>
      <c r="R14" s="8">
        <v>5</v>
      </c>
      <c r="AA14" s="8">
        <v>270</v>
      </c>
      <c r="AJ14" s="8">
        <v>22</v>
      </c>
    </row>
    <row r="15" spans="1:39">
      <c r="A15" s="8">
        <v>4</v>
      </c>
      <c r="I15" s="8">
        <v>4.0999999999999996</v>
      </c>
      <c r="R15" s="8">
        <v>4</v>
      </c>
      <c r="AA15" s="8">
        <v>350</v>
      </c>
      <c r="AJ15" s="8">
        <v>19</v>
      </c>
    </row>
    <row r="16" spans="1:39">
      <c r="A16" s="8">
        <v>2</v>
      </c>
      <c r="I16" s="8">
        <v>2.6</v>
      </c>
      <c r="R16" s="8">
        <v>2</v>
      </c>
      <c r="AA16" s="8">
        <v>300</v>
      </c>
      <c r="AJ16" s="8">
        <v>13</v>
      </c>
    </row>
    <row r="17" spans="1:36">
      <c r="A17" s="8">
        <v>3</v>
      </c>
      <c r="I17" s="8">
        <v>2.4</v>
      </c>
      <c r="R17" s="8">
        <v>3</v>
      </c>
      <c r="T17" t="s">
        <v>222</v>
      </c>
      <c r="AA17" s="8">
        <v>330</v>
      </c>
      <c r="AJ17" s="8">
        <v>16</v>
      </c>
    </row>
    <row r="18" spans="1:36">
      <c r="A18" s="8">
        <v>4</v>
      </c>
      <c r="I18" s="8">
        <v>4.7</v>
      </c>
      <c r="R18" s="8">
        <v>4</v>
      </c>
      <c r="AA18" s="8">
        <v>370</v>
      </c>
      <c r="AJ18" s="8">
        <v>21</v>
      </c>
    </row>
    <row r="19" spans="1:36">
      <c r="A19" s="8">
        <v>5</v>
      </c>
      <c r="I19" s="8">
        <v>3.3</v>
      </c>
      <c r="R19" s="8">
        <v>5</v>
      </c>
      <c r="AA19" s="8">
        <v>310</v>
      </c>
      <c r="AJ19" s="8">
        <v>22</v>
      </c>
    </row>
    <row r="20" spans="1:36">
      <c r="A20" s="8">
        <v>3</v>
      </c>
      <c r="I20" s="8">
        <v>2.7</v>
      </c>
      <c r="R20" s="8">
        <v>3</v>
      </c>
      <c r="AA20" s="8">
        <v>280</v>
      </c>
      <c r="AJ20" s="8">
        <v>17</v>
      </c>
    </row>
    <row r="21" spans="1:36">
      <c r="A21" s="8">
        <v>4</v>
      </c>
      <c r="I21" s="8">
        <v>3</v>
      </c>
      <c r="R21" s="8">
        <v>4</v>
      </c>
      <c r="AA21" s="8">
        <v>320</v>
      </c>
      <c r="AJ21" s="8">
        <v>19</v>
      </c>
    </row>
    <row r="22" spans="1:36">
      <c r="A22" s="8">
        <v>5</v>
      </c>
      <c r="I22" s="8">
        <v>4.3</v>
      </c>
      <c r="R22" s="8">
        <v>5</v>
      </c>
      <c r="AA22" s="8">
        <v>350</v>
      </c>
      <c r="AJ22" s="8">
        <v>22</v>
      </c>
    </row>
    <row r="23" spans="1:36">
      <c r="A23" s="8">
        <v>3</v>
      </c>
      <c r="I23" s="8">
        <v>3.7</v>
      </c>
      <c r="R23" s="8">
        <v>3</v>
      </c>
      <c r="AA23" s="8">
        <v>290</v>
      </c>
      <c r="AJ23" s="8">
        <v>18</v>
      </c>
    </row>
    <row r="24" spans="1:36">
      <c r="A24" s="8">
        <v>4</v>
      </c>
      <c r="I24" s="8">
        <v>2.2000000000000002</v>
      </c>
      <c r="R24" s="8">
        <v>4</v>
      </c>
      <c r="AA24" s="8">
        <v>270</v>
      </c>
      <c r="AJ24" s="8">
        <v>14</v>
      </c>
    </row>
    <row r="25" spans="1:36">
      <c r="A25" s="8">
        <v>3</v>
      </c>
      <c r="I25" s="8">
        <v>3.6</v>
      </c>
      <c r="R25" s="8">
        <v>3</v>
      </c>
      <c r="AA25" s="8">
        <v>350</v>
      </c>
      <c r="AJ25" s="8">
        <v>20</v>
      </c>
    </row>
    <row r="26" spans="1:36">
      <c r="A26" s="8">
        <v>2</v>
      </c>
      <c r="I26" s="8">
        <v>4</v>
      </c>
      <c r="R26" s="8">
        <v>2</v>
      </c>
      <c r="AA26" s="8">
        <v>300</v>
      </c>
      <c r="AJ26" s="8">
        <v>19</v>
      </c>
    </row>
    <row r="27" spans="1:36">
      <c r="A27" s="8">
        <v>4</v>
      </c>
      <c r="I27" s="8">
        <v>2.7</v>
      </c>
      <c r="R27" s="8">
        <v>4</v>
      </c>
      <c r="AA27" s="8">
        <v>330</v>
      </c>
      <c r="AJ27" s="8">
        <v>17</v>
      </c>
    </row>
    <row r="28" spans="1:36">
      <c r="A28" s="8">
        <v>5</v>
      </c>
      <c r="I28" s="8">
        <v>3.8</v>
      </c>
      <c r="R28" s="8">
        <v>5</v>
      </c>
      <c r="AA28" s="8">
        <v>370</v>
      </c>
      <c r="AJ28" s="8">
        <v>22</v>
      </c>
    </row>
    <row r="29" spans="1:36">
      <c r="A29" s="8">
        <v>3</v>
      </c>
      <c r="I29" s="8">
        <v>3.5</v>
      </c>
      <c r="R29" s="8">
        <v>3</v>
      </c>
      <c r="AA29" s="8">
        <v>310</v>
      </c>
      <c r="AJ29" s="8">
        <v>18</v>
      </c>
    </row>
    <row r="30" spans="1:36">
      <c r="A30" s="8">
        <v>4</v>
      </c>
      <c r="I30" s="8">
        <v>3.2</v>
      </c>
      <c r="R30" s="8">
        <v>4</v>
      </c>
      <c r="AA30" s="8">
        <v>280</v>
      </c>
      <c r="AJ30" s="8">
        <v>15</v>
      </c>
    </row>
    <row r="31" spans="1:36">
      <c r="A31" s="8">
        <v>5</v>
      </c>
      <c r="I31" s="8">
        <v>4.4000000000000004</v>
      </c>
      <c r="R31" s="8">
        <v>5</v>
      </c>
      <c r="AA31" s="8">
        <v>320</v>
      </c>
      <c r="AJ31" s="8">
        <v>21</v>
      </c>
    </row>
    <row r="32" spans="1:36">
      <c r="A32" s="8">
        <v>4</v>
      </c>
      <c r="I32" s="8">
        <v>2</v>
      </c>
      <c r="R32" s="8">
        <v>4</v>
      </c>
      <c r="AA32" s="8">
        <v>350</v>
      </c>
      <c r="AJ32" s="8">
        <v>20</v>
      </c>
    </row>
    <row r="33" spans="1:36">
      <c r="A33" s="8">
        <v>3</v>
      </c>
      <c r="I33" s="8">
        <v>3.4</v>
      </c>
      <c r="R33" s="8">
        <v>3</v>
      </c>
      <c r="AA33" s="8">
        <v>290</v>
      </c>
      <c r="AJ33" s="8">
        <v>16</v>
      </c>
    </row>
    <row r="34" spans="1:36">
      <c r="A34" s="8">
        <v>3</v>
      </c>
      <c r="I34" s="8">
        <v>3.1</v>
      </c>
      <c r="R34" s="8">
        <v>3</v>
      </c>
      <c r="AA34" s="8">
        <v>270</v>
      </c>
      <c r="AJ34" s="8">
        <v>12</v>
      </c>
    </row>
    <row r="35" spans="1:36">
      <c r="A35" s="8">
        <v>4</v>
      </c>
      <c r="I35" s="8">
        <v>2.9</v>
      </c>
      <c r="R35" s="8">
        <v>4</v>
      </c>
      <c r="AA35" s="8">
        <v>350</v>
      </c>
      <c r="AJ35" s="8">
        <v>18</v>
      </c>
    </row>
    <row r="36" spans="1:36">
      <c r="A36" s="8">
        <v>5</v>
      </c>
      <c r="I36" s="8">
        <v>4.5999999999999996</v>
      </c>
      <c r="R36" s="8">
        <v>5</v>
      </c>
      <c r="AA36" s="8">
        <v>300</v>
      </c>
      <c r="AJ36" s="8">
        <v>15</v>
      </c>
    </row>
    <row r="37" spans="1:36">
      <c r="A37" s="8">
        <v>2</v>
      </c>
      <c r="I37" s="8">
        <v>3.3</v>
      </c>
      <c r="R37" s="8">
        <v>2</v>
      </c>
      <c r="AA37" s="8">
        <v>330</v>
      </c>
      <c r="AJ37" s="8">
        <v>22</v>
      </c>
    </row>
    <row r="38" spans="1:36">
      <c r="A38" s="8">
        <v>3</v>
      </c>
      <c r="I38" s="8">
        <v>2.5</v>
      </c>
      <c r="R38" s="8">
        <v>3</v>
      </c>
      <c r="AA38" s="8">
        <v>370</v>
      </c>
      <c r="AJ38" s="8">
        <v>20</v>
      </c>
    </row>
    <row r="39" spans="1:36">
      <c r="A39" s="8">
        <v>4</v>
      </c>
      <c r="I39" s="8">
        <v>4.9000000000000004</v>
      </c>
      <c r="R39" s="8">
        <v>4</v>
      </c>
      <c r="AA39" s="8">
        <v>310</v>
      </c>
      <c r="AJ39" s="8">
        <v>14</v>
      </c>
    </row>
    <row r="40" spans="1:36">
      <c r="A40" s="8">
        <v>4</v>
      </c>
      <c r="I40" s="8">
        <v>2.8</v>
      </c>
      <c r="R40" s="8">
        <v>4</v>
      </c>
      <c r="AA40" s="8">
        <v>280</v>
      </c>
      <c r="AJ40" s="8">
        <v>16</v>
      </c>
    </row>
    <row r="41" spans="1:36">
      <c r="A41" s="8">
        <v>3</v>
      </c>
      <c r="I41" s="8">
        <v>3</v>
      </c>
      <c r="R41" s="8">
        <v>3</v>
      </c>
      <c r="AA41" s="8">
        <v>320</v>
      </c>
      <c r="AJ41" s="8">
        <v>21</v>
      </c>
    </row>
    <row r="42" spans="1:36">
      <c r="A42" s="8">
        <v>5</v>
      </c>
      <c r="I42" s="8">
        <v>4.2</v>
      </c>
      <c r="R42" s="8">
        <v>5</v>
      </c>
      <c r="AA42" s="8">
        <v>350</v>
      </c>
      <c r="AJ42" s="8">
        <v>19</v>
      </c>
    </row>
    <row r="43" spans="1:36">
      <c r="A43" s="8">
        <v>4</v>
      </c>
      <c r="I43" s="8">
        <v>3.9</v>
      </c>
      <c r="R43" s="8">
        <v>4</v>
      </c>
      <c r="AA43" s="8">
        <v>290</v>
      </c>
      <c r="AJ43" s="8">
        <v>17</v>
      </c>
    </row>
    <row r="44" spans="1:36">
      <c r="A44" s="8">
        <v>3</v>
      </c>
      <c r="I44" s="8">
        <v>2.8</v>
      </c>
      <c r="R44" s="8">
        <v>3</v>
      </c>
      <c r="AA44" s="8">
        <v>270</v>
      </c>
      <c r="AJ44" s="8">
        <v>22</v>
      </c>
    </row>
    <row r="45" spans="1:36">
      <c r="A45" s="8">
        <v>4</v>
      </c>
      <c r="I45" s="8">
        <v>4.0999999999999996</v>
      </c>
      <c r="R45" s="8">
        <v>4</v>
      </c>
      <c r="AA45" s="8">
        <v>350</v>
      </c>
      <c r="AJ45" s="8">
        <v>19</v>
      </c>
    </row>
    <row r="46" spans="1:36">
      <c r="A46" s="8">
        <v>5</v>
      </c>
      <c r="I46" s="8">
        <v>2.6</v>
      </c>
      <c r="R46" s="8">
        <v>5</v>
      </c>
      <c r="AA46" s="8">
        <v>300</v>
      </c>
      <c r="AJ46" s="8">
        <v>13</v>
      </c>
    </row>
    <row r="47" spans="1:36">
      <c r="A47" s="8">
        <v>4</v>
      </c>
      <c r="I47" s="8">
        <v>2.4</v>
      </c>
      <c r="R47" s="8">
        <v>4</v>
      </c>
      <c r="AA47" s="8">
        <v>330</v>
      </c>
      <c r="AJ47" s="8">
        <v>16</v>
      </c>
    </row>
    <row r="48" spans="1:36">
      <c r="A48" s="8">
        <v>2</v>
      </c>
      <c r="I48" s="8">
        <v>4.7</v>
      </c>
      <c r="R48" s="8">
        <v>2</v>
      </c>
      <c r="AA48" s="8">
        <v>370</v>
      </c>
      <c r="AJ48" s="8">
        <v>21</v>
      </c>
    </row>
    <row r="49" spans="1:36">
      <c r="A49" s="8">
        <v>3</v>
      </c>
      <c r="I49" s="8">
        <v>3.3</v>
      </c>
      <c r="R49" s="8">
        <v>3</v>
      </c>
      <c r="AA49" s="8">
        <v>310</v>
      </c>
      <c r="AJ49" s="8">
        <v>22</v>
      </c>
    </row>
    <row r="50" spans="1:36">
      <c r="A50" s="8">
        <v>4</v>
      </c>
      <c r="I50" s="8">
        <v>2.7</v>
      </c>
      <c r="R50" s="8">
        <v>4</v>
      </c>
      <c r="AA50" s="8">
        <v>280</v>
      </c>
      <c r="AJ50" s="8">
        <v>17</v>
      </c>
    </row>
    <row r="51" spans="1:36">
      <c r="A51" s="8">
        <v>5</v>
      </c>
      <c r="I51" s="8">
        <v>3</v>
      </c>
      <c r="R51" s="8">
        <v>5</v>
      </c>
      <c r="AA51" s="8">
        <v>320</v>
      </c>
      <c r="AJ51" s="8">
        <v>19</v>
      </c>
    </row>
    <row r="52" spans="1:36">
      <c r="A52" s="8">
        <v>3</v>
      </c>
      <c r="I52" s="8">
        <v>4.3</v>
      </c>
      <c r="R52" s="8">
        <v>3</v>
      </c>
      <c r="AA52" s="8">
        <v>350</v>
      </c>
      <c r="AJ52" s="8">
        <v>22</v>
      </c>
    </row>
    <row r="53" spans="1:36">
      <c r="A53" s="8">
        <v>4</v>
      </c>
      <c r="I53" s="8">
        <v>3.7</v>
      </c>
      <c r="R53" s="8">
        <v>4</v>
      </c>
      <c r="AA53" s="8">
        <v>290</v>
      </c>
      <c r="AJ53" s="8">
        <v>18</v>
      </c>
    </row>
    <row r="54" spans="1:36">
      <c r="A54" s="8">
        <v>5</v>
      </c>
      <c r="I54" s="8">
        <v>2.2000000000000002</v>
      </c>
      <c r="R54" s="8">
        <v>5</v>
      </c>
      <c r="AA54" s="8">
        <v>270</v>
      </c>
      <c r="AJ54" s="8">
        <v>14</v>
      </c>
    </row>
    <row r="55" spans="1:36">
      <c r="A55" s="8">
        <v>4</v>
      </c>
      <c r="I55" s="8">
        <v>3.6</v>
      </c>
      <c r="R55" s="8">
        <v>4</v>
      </c>
      <c r="AA55" s="8">
        <v>350</v>
      </c>
      <c r="AJ55" s="8">
        <v>20</v>
      </c>
    </row>
    <row r="56" spans="1:36">
      <c r="A56" s="8">
        <v>3</v>
      </c>
      <c r="I56" s="8">
        <v>4</v>
      </c>
      <c r="R56" s="8">
        <v>3</v>
      </c>
      <c r="AA56" s="8">
        <v>300</v>
      </c>
      <c r="AJ56" s="8">
        <v>19</v>
      </c>
    </row>
    <row r="57" spans="1:36">
      <c r="A57" s="8">
        <v>4</v>
      </c>
      <c r="I57" s="8">
        <v>2.7</v>
      </c>
      <c r="R57" s="8">
        <v>4</v>
      </c>
      <c r="AA57" s="8">
        <v>330</v>
      </c>
      <c r="AJ57" s="8">
        <v>17</v>
      </c>
    </row>
    <row r="58" spans="1:36">
      <c r="A58" s="8">
        <v>5</v>
      </c>
      <c r="I58" s="8">
        <v>3.8</v>
      </c>
      <c r="R58" s="8">
        <v>5</v>
      </c>
      <c r="AA58" s="8">
        <v>370</v>
      </c>
      <c r="AJ58" s="8">
        <v>22</v>
      </c>
    </row>
    <row r="59" spans="1:36">
      <c r="A59" s="8">
        <v>3</v>
      </c>
      <c r="I59" s="8">
        <v>3.5</v>
      </c>
      <c r="R59" s="8">
        <v>3</v>
      </c>
      <c r="AA59" s="8">
        <v>310</v>
      </c>
      <c r="AJ59" s="8">
        <v>18</v>
      </c>
    </row>
    <row r="60" spans="1:36">
      <c r="A60" s="8">
        <v>4</v>
      </c>
      <c r="I60" s="8">
        <v>3.2</v>
      </c>
      <c r="R60" s="8">
        <v>4</v>
      </c>
      <c r="AA60" s="8">
        <v>280</v>
      </c>
      <c r="AJ60" s="8">
        <v>15</v>
      </c>
    </row>
    <row r="61" spans="1:36">
      <c r="A61" s="8">
        <v>5</v>
      </c>
      <c r="I61" s="8">
        <v>4.4000000000000004</v>
      </c>
      <c r="R61" s="8">
        <v>5</v>
      </c>
      <c r="AA61" s="8">
        <v>320</v>
      </c>
      <c r="AJ61" s="8">
        <v>21</v>
      </c>
    </row>
    <row r="62" spans="1:36">
      <c r="A62" s="8">
        <v>4</v>
      </c>
      <c r="I62" s="8">
        <v>2</v>
      </c>
      <c r="R62" s="8">
        <v>4</v>
      </c>
      <c r="AA62" s="8">
        <v>350</v>
      </c>
      <c r="AJ62" s="8">
        <v>20</v>
      </c>
    </row>
    <row r="63" spans="1:36">
      <c r="A63" s="8">
        <v>3</v>
      </c>
      <c r="I63" s="8">
        <v>3.4</v>
      </c>
      <c r="R63" s="8">
        <v>3</v>
      </c>
      <c r="AA63" s="8">
        <v>290</v>
      </c>
      <c r="AJ63" s="8">
        <v>16</v>
      </c>
    </row>
    <row r="64" spans="1:36">
      <c r="A64" s="8">
        <v>3</v>
      </c>
      <c r="I64" s="8">
        <v>3.1</v>
      </c>
      <c r="R64" s="8">
        <v>3</v>
      </c>
      <c r="AA64" s="8">
        <v>270</v>
      </c>
      <c r="AJ64" s="8">
        <v>12</v>
      </c>
    </row>
    <row r="65" spans="1:36">
      <c r="A65" s="8">
        <v>4</v>
      </c>
      <c r="I65" s="8">
        <v>2.9</v>
      </c>
      <c r="R65" s="8">
        <v>4</v>
      </c>
      <c r="AA65" s="8">
        <v>350</v>
      </c>
      <c r="AJ65" s="8">
        <v>18</v>
      </c>
    </row>
    <row r="66" spans="1:36">
      <c r="A66" s="8">
        <v>5</v>
      </c>
      <c r="I66" s="8">
        <v>4.5999999999999996</v>
      </c>
      <c r="R66" s="8">
        <v>5</v>
      </c>
      <c r="AA66" s="8">
        <v>300</v>
      </c>
      <c r="AJ66" s="8">
        <v>15</v>
      </c>
    </row>
    <row r="67" spans="1:36">
      <c r="A67" s="8">
        <v>2</v>
      </c>
      <c r="I67" s="8">
        <v>3.3</v>
      </c>
      <c r="R67" s="8">
        <v>2</v>
      </c>
      <c r="AA67" s="8">
        <v>330</v>
      </c>
      <c r="AJ67" s="8">
        <v>22</v>
      </c>
    </row>
    <row r="68" spans="1:36">
      <c r="A68" s="8">
        <v>3</v>
      </c>
      <c r="I68" s="8">
        <v>2.5</v>
      </c>
      <c r="R68" s="8">
        <v>3</v>
      </c>
      <c r="AA68" s="8">
        <v>370</v>
      </c>
      <c r="AJ68" s="8">
        <v>20</v>
      </c>
    </row>
    <row r="69" spans="1:36">
      <c r="A69" s="8">
        <v>4</v>
      </c>
      <c r="I69" s="8">
        <v>4.9000000000000004</v>
      </c>
      <c r="R69" s="8">
        <v>4</v>
      </c>
      <c r="AA69" s="8">
        <v>310</v>
      </c>
      <c r="AJ69" s="8">
        <v>14</v>
      </c>
    </row>
    <row r="70" spans="1:36">
      <c r="A70" s="8">
        <v>4</v>
      </c>
      <c r="I70" s="8">
        <v>2.8</v>
      </c>
      <c r="R70" s="8">
        <v>4</v>
      </c>
      <c r="AA70" s="8">
        <v>280</v>
      </c>
      <c r="AJ70" s="8">
        <v>16</v>
      </c>
    </row>
    <row r="71" spans="1:36">
      <c r="A71" s="8">
        <v>3</v>
      </c>
      <c r="I71" s="8">
        <v>3</v>
      </c>
      <c r="R71" s="8">
        <v>3</v>
      </c>
      <c r="AA71" s="8">
        <v>320</v>
      </c>
      <c r="AJ71" s="8">
        <v>21</v>
      </c>
    </row>
    <row r="72" spans="1:36">
      <c r="A72" s="8">
        <v>5</v>
      </c>
      <c r="I72" s="8">
        <v>4.2</v>
      </c>
      <c r="R72" s="8">
        <v>5</v>
      </c>
      <c r="AA72" s="8">
        <v>350</v>
      </c>
      <c r="AJ72" s="8">
        <v>19</v>
      </c>
    </row>
    <row r="73" spans="1:36">
      <c r="A73" s="8">
        <v>4</v>
      </c>
      <c r="I73" s="8">
        <v>3.9</v>
      </c>
      <c r="R73" s="8">
        <v>4</v>
      </c>
      <c r="AA73" s="8">
        <v>290</v>
      </c>
      <c r="AJ73" s="8">
        <v>17</v>
      </c>
    </row>
    <row r="74" spans="1:36">
      <c r="A74" s="8">
        <v>3</v>
      </c>
      <c r="I74" s="8">
        <v>2.8</v>
      </c>
      <c r="R74" s="8">
        <v>3</v>
      </c>
      <c r="AA74" s="8">
        <v>270</v>
      </c>
      <c r="AJ74" s="8">
        <v>22</v>
      </c>
    </row>
    <row r="75" spans="1:36">
      <c r="A75" s="8">
        <v>4</v>
      </c>
      <c r="I75" s="8">
        <v>4.0999999999999996</v>
      </c>
      <c r="R75" s="8">
        <v>4</v>
      </c>
      <c r="AA75" s="8">
        <v>350</v>
      </c>
      <c r="AJ75" s="8">
        <v>19</v>
      </c>
    </row>
    <row r="76" spans="1:36">
      <c r="A76" s="8">
        <v>5</v>
      </c>
      <c r="I76" s="8">
        <v>2.6</v>
      </c>
      <c r="R76" s="8">
        <v>5</v>
      </c>
      <c r="AA76" s="8">
        <v>300</v>
      </c>
      <c r="AJ76" s="8">
        <v>13</v>
      </c>
    </row>
    <row r="77" spans="1:36">
      <c r="A77" s="8">
        <v>4</v>
      </c>
      <c r="I77" s="8">
        <v>2.4</v>
      </c>
      <c r="R77" s="8">
        <v>4</v>
      </c>
      <c r="AA77" s="8">
        <v>330</v>
      </c>
      <c r="AJ77" s="8">
        <v>16</v>
      </c>
    </row>
    <row r="78" spans="1:36">
      <c r="A78" s="8">
        <v>2</v>
      </c>
      <c r="I78" s="8">
        <v>4.7</v>
      </c>
      <c r="R78" s="8">
        <v>2</v>
      </c>
      <c r="AA78" s="8">
        <v>370</v>
      </c>
      <c r="AJ78" s="8">
        <v>21</v>
      </c>
    </row>
    <row r="79" spans="1:36">
      <c r="A79" s="8">
        <v>3</v>
      </c>
      <c r="I79" s="8">
        <v>3.3</v>
      </c>
      <c r="R79" s="8">
        <v>3</v>
      </c>
      <c r="AA79" s="8">
        <v>310</v>
      </c>
      <c r="AJ79" s="8">
        <v>22</v>
      </c>
    </row>
    <row r="80" spans="1:36">
      <c r="A80" s="8">
        <v>4</v>
      </c>
      <c r="I80" s="8">
        <v>2.7</v>
      </c>
      <c r="R80" s="8">
        <v>4</v>
      </c>
      <c r="AA80" s="8">
        <v>280</v>
      </c>
      <c r="AJ80" s="8">
        <v>17</v>
      </c>
    </row>
    <row r="81" spans="1:36">
      <c r="A81" s="8">
        <v>5</v>
      </c>
      <c r="I81" s="8">
        <v>3</v>
      </c>
      <c r="R81" s="8">
        <v>5</v>
      </c>
      <c r="AA81" s="8">
        <v>320</v>
      </c>
      <c r="AJ81" s="8">
        <v>19</v>
      </c>
    </row>
    <row r="82" spans="1:36">
      <c r="A82" s="8">
        <v>3</v>
      </c>
      <c r="I82" s="8">
        <v>4.3</v>
      </c>
      <c r="R82" s="8">
        <v>3</v>
      </c>
      <c r="AA82" s="8">
        <v>350</v>
      </c>
      <c r="AJ82" s="8">
        <v>22</v>
      </c>
    </row>
    <row r="83" spans="1:36">
      <c r="A83" s="8">
        <v>4</v>
      </c>
      <c r="I83" s="8">
        <v>3.7</v>
      </c>
      <c r="R83" s="8">
        <v>4</v>
      </c>
      <c r="AA83" s="8">
        <v>290</v>
      </c>
      <c r="AJ83" s="8">
        <v>18</v>
      </c>
    </row>
    <row r="84" spans="1:36">
      <c r="A84" s="8">
        <v>5</v>
      </c>
      <c r="I84" s="8">
        <v>2.2000000000000002</v>
      </c>
      <c r="R84" s="8">
        <v>5</v>
      </c>
      <c r="AA84" s="8">
        <v>270</v>
      </c>
      <c r="AJ84" s="8">
        <v>14</v>
      </c>
    </row>
    <row r="85" spans="1:36">
      <c r="A85" s="8">
        <v>4</v>
      </c>
      <c r="I85" s="8">
        <v>3.6</v>
      </c>
      <c r="R85" s="8">
        <v>4</v>
      </c>
      <c r="AA85" s="8">
        <v>350</v>
      </c>
      <c r="AJ85" s="8">
        <v>20</v>
      </c>
    </row>
    <row r="86" spans="1:36">
      <c r="A86" s="8">
        <v>3</v>
      </c>
      <c r="I86" s="8">
        <v>4</v>
      </c>
      <c r="R86" s="8">
        <v>3</v>
      </c>
      <c r="AA86" s="8">
        <v>300</v>
      </c>
      <c r="AJ86" s="8">
        <v>19</v>
      </c>
    </row>
    <row r="87" spans="1:36">
      <c r="A87" s="8">
        <v>4</v>
      </c>
      <c r="I87" s="8">
        <v>2.7</v>
      </c>
      <c r="R87" s="8">
        <v>4</v>
      </c>
      <c r="AA87" s="8">
        <v>330</v>
      </c>
      <c r="AJ87" s="8">
        <v>17</v>
      </c>
    </row>
    <row r="88" spans="1:36">
      <c r="A88" s="8">
        <v>5</v>
      </c>
      <c r="I88" s="8">
        <v>3.8</v>
      </c>
      <c r="R88" s="8">
        <v>5</v>
      </c>
      <c r="AA88" s="8">
        <v>370</v>
      </c>
      <c r="AJ88" s="8">
        <v>22</v>
      </c>
    </row>
    <row r="89" spans="1:36">
      <c r="A89" s="8">
        <v>3</v>
      </c>
      <c r="I89" s="8">
        <v>3.5</v>
      </c>
      <c r="R89" s="8">
        <v>3</v>
      </c>
      <c r="AA89" s="8">
        <v>310</v>
      </c>
      <c r="AJ89" s="8">
        <v>18</v>
      </c>
    </row>
    <row r="90" spans="1:36">
      <c r="A90" s="8">
        <v>4</v>
      </c>
      <c r="I90" s="8">
        <v>3.2</v>
      </c>
      <c r="R90" s="8">
        <v>4</v>
      </c>
      <c r="AA90" s="8">
        <v>280</v>
      </c>
      <c r="AJ90" s="8">
        <v>15</v>
      </c>
    </row>
    <row r="91" spans="1:36">
      <c r="A91" s="8">
        <v>5</v>
      </c>
      <c r="I91" s="8">
        <v>4.4000000000000004</v>
      </c>
      <c r="R91" s="8">
        <v>5</v>
      </c>
      <c r="AA91" s="8">
        <v>320</v>
      </c>
      <c r="AJ91" s="8">
        <v>21</v>
      </c>
    </row>
    <row r="92" spans="1:36">
      <c r="A92" s="8">
        <v>4</v>
      </c>
      <c r="I92" s="8">
        <v>2</v>
      </c>
      <c r="R92" s="8">
        <v>4</v>
      </c>
      <c r="AA92" s="8">
        <v>350</v>
      </c>
      <c r="AJ92" s="8">
        <v>20</v>
      </c>
    </row>
    <row r="93" spans="1:36">
      <c r="A93" s="8">
        <v>3</v>
      </c>
      <c r="I93" s="8">
        <v>3.4</v>
      </c>
      <c r="R93" s="8">
        <v>3</v>
      </c>
      <c r="AA93" s="8">
        <v>290</v>
      </c>
      <c r="AJ93" s="8">
        <v>16</v>
      </c>
    </row>
    <row r="94" spans="1:36">
      <c r="A94" s="8">
        <v>3</v>
      </c>
      <c r="I94" s="8">
        <v>3.1</v>
      </c>
      <c r="R94" s="8">
        <v>3</v>
      </c>
      <c r="AA94" s="8">
        <v>270</v>
      </c>
      <c r="AJ94" s="8">
        <v>12</v>
      </c>
    </row>
    <row r="95" spans="1:36">
      <c r="A95" s="8">
        <v>4</v>
      </c>
      <c r="I95" s="8">
        <v>2.9</v>
      </c>
      <c r="R95" s="8">
        <v>4</v>
      </c>
      <c r="AA95" s="8">
        <v>350</v>
      </c>
      <c r="AJ95" s="8">
        <v>18</v>
      </c>
    </row>
    <row r="96" spans="1:36">
      <c r="A96" s="8">
        <v>5</v>
      </c>
      <c r="I96" s="8">
        <v>4.5999999999999996</v>
      </c>
      <c r="R96" s="8">
        <v>5</v>
      </c>
      <c r="AA96" s="8">
        <v>300</v>
      </c>
      <c r="AJ96" s="8">
        <v>15</v>
      </c>
    </row>
    <row r="97" spans="1:36">
      <c r="A97" s="8">
        <v>2</v>
      </c>
      <c r="I97" s="8">
        <v>3.3</v>
      </c>
      <c r="R97" s="8">
        <v>2</v>
      </c>
      <c r="AA97" s="8">
        <v>330</v>
      </c>
      <c r="AJ97" s="8">
        <v>22</v>
      </c>
    </row>
    <row r="98" spans="1:36">
      <c r="A98" s="8">
        <v>3</v>
      </c>
      <c r="I98" s="8">
        <v>2.5</v>
      </c>
      <c r="R98" s="8">
        <v>3</v>
      </c>
      <c r="AA98" s="8">
        <v>370</v>
      </c>
      <c r="AJ98" s="8">
        <v>20</v>
      </c>
    </row>
    <row r="99" spans="1:36">
      <c r="A99" s="8">
        <v>4</v>
      </c>
      <c r="I99" s="8">
        <v>4.9000000000000004</v>
      </c>
      <c r="R99" s="8">
        <v>4</v>
      </c>
      <c r="AA99" s="8">
        <v>310</v>
      </c>
      <c r="AJ99" s="8">
        <v>14</v>
      </c>
    </row>
    <row r="100" spans="1:36">
      <c r="A100" s="8">
        <v>4</v>
      </c>
      <c r="R100" s="8">
        <v>4</v>
      </c>
      <c r="AA100" s="8">
        <v>280</v>
      </c>
      <c r="AJ100" s="8">
        <v>16</v>
      </c>
    </row>
    <row r="101" spans="1:36">
      <c r="A101" s="8">
        <v>3</v>
      </c>
      <c r="R101" s="8">
        <v>3</v>
      </c>
      <c r="AA101" s="8">
        <v>320</v>
      </c>
      <c r="AJ101" s="8">
        <v>21</v>
      </c>
    </row>
    <row r="102" spans="1:36">
      <c r="A102" s="8">
        <v>5</v>
      </c>
      <c r="R102" s="8">
        <v>5</v>
      </c>
      <c r="AA102" s="8">
        <v>350</v>
      </c>
      <c r="AJ102" s="8">
        <v>19</v>
      </c>
    </row>
    <row r="103" spans="1:36">
      <c r="A103" s="8">
        <v>4</v>
      </c>
      <c r="R103" s="8">
        <v>4</v>
      </c>
      <c r="AA103" s="8">
        <v>290</v>
      </c>
      <c r="AJ103" s="8">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287F7-18E4-408A-A318-E2DFC969D49D}">
  <dimension ref="A1:AI123"/>
  <sheetViews>
    <sheetView workbookViewId="0">
      <selection activeCell="A12" sqref="A12"/>
    </sheetView>
  </sheetViews>
  <sheetFormatPr defaultRowHeight="12.75"/>
  <cols>
    <col min="1" max="1" width="10.83203125" bestFit="1" customWidth="1"/>
    <col min="3" max="3" width="14" customWidth="1"/>
    <col min="9" max="9" width="11.33203125" bestFit="1" customWidth="1"/>
    <col min="11" max="11" width="13.6640625" customWidth="1"/>
    <col min="12" max="12" width="10.6640625" bestFit="1" customWidth="1"/>
    <col min="17" max="17" width="18" bestFit="1" customWidth="1"/>
    <col min="19" max="19" width="13.83203125" customWidth="1"/>
    <col min="24" max="24" width="15" bestFit="1" customWidth="1"/>
    <col min="26" max="26" width="13.83203125" customWidth="1"/>
    <col min="31" max="31" width="11.33203125" bestFit="1" customWidth="1"/>
    <col min="33" max="33" width="13.6640625" customWidth="1"/>
  </cols>
  <sheetData>
    <row r="1" spans="1:35">
      <c r="A1" s="44" t="s">
        <v>225</v>
      </c>
      <c r="I1" s="35" t="s">
        <v>336</v>
      </c>
      <c r="Q1" s="35" t="s">
        <v>248</v>
      </c>
      <c r="X1" s="35" t="s">
        <v>348</v>
      </c>
      <c r="AE1" s="35" t="s">
        <v>353</v>
      </c>
    </row>
    <row r="3" spans="1:35">
      <c r="A3" s="48" t="s">
        <v>327</v>
      </c>
      <c r="I3" s="52" t="s">
        <v>337</v>
      </c>
      <c r="Q3" s="52" t="s">
        <v>344</v>
      </c>
      <c r="X3" s="52" t="s">
        <v>349</v>
      </c>
      <c r="AE3" s="52" t="s">
        <v>356</v>
      </c>
    </row>
    <row r="4" spans="1:35">
      <c r="A4" s="8">
        <v>40</v>
      </c>
      <c r="I4" s="51">
        <v>55</v>
      </c>
      <c r="Q4" s="51">
        <v>20</v>
      </c>
      <c r="X4" s="51">
        <v>15</v>
      </c>
      <c r="AE4" s="51">
        <v>0.5</v>
      </c>
    </row>
    <row r="5" spans="1:35">
      <c r="A5" s="8">
        <v>45</v>
      </c>
      <c r="C5" s="48" t="s">
        <v>328</v>
      </c>
      <c r="D5" s="48" t="s">
        <v>329</v>
      </c>
      <c r="E5" s="48" t="s">
        <v>330</v>
      </c>
      <c r="F5" s="10"/>
      <c r="I5" s="51">
        <v>60</v>
      </c>
      <c r="K5" s="36" t="s">
        <v>338</v>
      </c>
      <c r="L5" s="36" t="s">
        <v>339</v>
      </c>
      <c r="M5" s="36" t="s">
        <v>330</v>
      </c>
      <c r="Q5" s="51">
        <v>25</v>
      </c>
      <c r="S5" s="36" t="s">
        <v>338</v>
      </c>
      <c r="T5" s="36" t="s">
        <v>329</v>
      </c>
      <c r="U5" s="36" t="s">
        <v>330</v>
      </c>
      <c r="X5" s="51">
        <v>20</v>
      </c>
      <c r="Z5" s="36" t="s">
        <v>338</v>
      </c>
      <c r="AA5" s="36" t="s">
        <v>350</v>
      </c>
      <c r="AB5" s="36" t="s">
        <v>330</v>
      </c>
      <c r="AE5" s="51">
        <v>1</v>
      </c>
      <c r="AG5" s="52" t="s">
        <v>338</v>
      </c>
      <c r="AH5" s="52" t="s">
        <v>350</v>
      </c>
      <c r="AI5" s="52" t="s">
        <v>330</v>
      </c>
    </row>
    <row r="6" spans="1:35">
      <c r="A6" s="8">
        <v>50</v>
      </c>
      <c r="C6" s="8">
        <f>QUARTILE(A4:A103,1)</f>
        <v>128.75</v>
      </c>
      <c r="D6" s="8">
        <f>MEDIAN(A4:A103)</f>
        <v>252.5</v>
      </c>
      <c r="E6" s="8">
        <f>QUARTILE(A4:A103,3)</f>
        <v>376.25</v>
      </c>
      <c r="I6" s="51">
        <v>62</v>
      </c>
      <c r="K6" s="8">
        <f>QUARTILE(I4:I103,1)</f>
        <v>143.75</v>
      </c>
      <c r="L6" s="8">
        <f>MEDIAN(I4:I103)</f>
        <v>267.5</v>
      </c>
      <c r="M6" s="8">
        <f>QUARTILE(I4:I103,3)</f>
        <v>391.25</v>
      </c>
      <c r="Q6" s="51">
        <v>30</v>
      </c>
      <c r="S6" s="8">
        <f>QUARTILE(Q4:Q113,1)</f>
        <v>156.25</v>
      </c>
      <c r="T6" s="8">
        <f>MEDIAN(Q4:Q113)</f>
        <v>292.5</v>
      </c>
      <c r="U6" s="8">
        <f>QUARTILE(Q4:Q113,3)</f>
        <v>428.75</v>
      </c>
      <c r="X6" s="51">
        <v>25</v>
      </c>
      <c r="Z6" s="8">
        <f>QUARTILE(X4:X123,1)</f>
        <v>163.75</v>
      </c>
      <c r="AA6" s="8">
        <f>MEDIAN(X4:X123)</f>
        <v>312.5</v>
      </c>
      <c r="AB6" s="8">
        <f>QUARTILE(X4:X123,3)</f>
        <v>461.25</v>
      </c>
      <c r="AE6" s="51">
        <v>0.2</v>
      </c>
      <c r="AG6" s="51">
        <f>QUARTILE(AE4:AE123,1)</f>
        <v>0.4</v>
      </c>
      <c r="AH6" s="51">
        <f>MEDIAN(AE4:AE123)</f>
        <v>0.7</v>
      </c>
      <c r="AI6" s="51">
        <f>QUARTILE(AE4:AE123,3)</f>
        <v>0.9</v>
      </c>
    </row>
    <row r="7" spans="1:35">
      <c r="A7" s="8">
        <v>55</v>
      </c>
      <c r="I7" s="51">
        <v>65</v>
      </c>
      <c r="Q7" s="51">
        <v>35</v>
      </c>
      <c r="X7" s="51">
        <v>30</v>
      </c>
      <c r="AE7" s="51">
        <v>0.7</v>
      </c>
      <c r="AG7" s="50"/>
      <c r="AH7" s="50"/>
      <c r="AI7" s="50"/>
    </row>
    <row r="8" spans="1:35">
      <c r="A8" s="8">
        <v>60</v>
      </c>
      <c r="C8" s="49" t="s">
        <v>335</v>
      </c>
      <c r="D8" s="45"/>
      <c r="E8" s="46"/>
      <c r="F8" s="47"/>
      <c r="I8" s="51">
        <v>68</v>
      </c>
      <c r="Q8" s="51">
        <v>40</v>
      </c>
      <c r="X8" s="51">
        <v>35</v>
      </c>
      <c r="AE8" s="51">
        <v>0.3</v>
      </c>
      <c r="AG8" s="50"/>
      <c r="AH8" s="50"/>
      <c r="AI8" s="50"/>
    </row>
    <row r="9" spans="1:35">
      <c r="A9" s="8">
        <v>62</v>
      </c>
      <c r="C9" s="48" t="s">
        <v>331</v>
      </c>
      <c r="D9" s="48" t="s">
        <v>332</v>
      </c>
      <c r="E9" s="48" t="s">
        <v>333</v>
      </c>
      <c r="F9" s="48" t="s">
        <v>334</v>
      </c>
      <c r="I9" s="51">
        <v>70</v>
      </c>
      <c r="K9" s="54" t="s">
        <v>340</v>
      </c>
      <c r="L9" s="36"/>
      <c r="M9" s="36"/>
      <c r="Q9" s="51">
        <v>45</v>
      </c>
      <c r="S9" s="54" t="s">
        <v>340</v>
      </c>
      <c r="T9" s="36"/>
      <c r="U9" s="36"/>
      <c r="X9" s="51">
        <v>40</v>
      </c>
      <c r="Z9" s="54" t="s">
        <v>340</v>
      </c>
      <c r="AA9" s="36"/>
      <c r="AB9" s="36"/>
      <c r="AE9" s="51">
        <v>0.9</v>
      </c>
      <c r="AG9" s="53" t="s">
        <v>340</v>
      </c>
      <c r="AH9" s="52"/>
      <c r="AI9" s="52"/>
    </row>
    <row r="10" spans="1:35">
      <c r="A10" s="8">
        <v>65</v>
      </c>
      <c r="C10" s="8">
        <f>PERCENTILE(A4:A103,10 %)</f>
        <v>74.7</v>
      </c>
      <c r="D10" s="8">
        <f>PERCENTILE(A4:A103,25%)</f>
        <v>128.75</v>
      </c>
      <c r="E10" s="8">
        <f>PERCENTILE(A4:A103,75%)</f>
        <v>376.25</v>
      </c>
      <c r="F10" s="8">
        <f>PERCENTILE(A4:A103,90%)</f>
        <v>450.50000000000006</v>
      </c>
      <c r="I10" s="51">
        <v>72</v>
      </c>
      <c r="K10" s="36" t="s">
        <v>341</v>
      </c>
      <c r="L10" s="36" t="s">
        <v>342</v>
      </c>
      <c r="M10" s="36" t="s">
        <v>343</v>
      </c>
      <c r="Q10" s="51">
        <v>50</v>
      </c>
      <c r="S10" s="36" t="s">
        <v>345</v>
      </c>
      <c r="T10" s="36" t="s">
        <v>346</v>
      </c>
      <c r="U10" s="36" t="s">
        <v>347</v>
      </c>
      <c r="X10" s="51">
        <v>45</v>
      </c>
      <c r="Z10" s="36" t="s">
        <v>351</v>
      </c>
      <c r="AA10" s="36" t="s">
        <v>342</v>
      </c>
      <c r="AB10" s="36" t="s">
        <v>352</v>
      </c>
      <c r="AE10" s="51">
        <v>1.2</v>
      </c>
      <c r="AG10" s="52" t="s">
        <v>332</v>
      </c>
      <c r="AH10" s="52" t="s">
        <v>342</v>
      </c>
      <c r="AI10" s="52" t="s">
        <v>333</v>
      </c>
    </row>
    <row r="11" spans="1:35">
      <c r="A11" s="8">
        <v>68</v>
      </c>
      <c r="I11" s="51">
        <v>75</v>
      </c>
      <c r="K11" s="8">
        <f>PERCENTILE(I4:I103,15%)</f>
        <v>94.55</v>
      </c>
      <c r="L11" s="8">
        <f>PERCENTILE(I4:I103,50%)</f>
        <v>267.5</v>
      </c>
      <c r="M11" s="8">
        <f>PERCENTILE(I4:I103,85%)</f>
        <v>440.74999999999994</v>
      </c>
      <c r="Q11" s="51">
        <v>55</v>
      </c>
      <c r="S11" s="8">
        <f>PERCENTILE(Q4:Q113,20%)</f>
        <v>129</v>
      </c>
      <c r="T11" s="8">
        <f>PERCENTILE(Q4:Q113,40%)</f>
        <v>238</v>
      </c>
      <c r="U11" s="8">
        <f>PERCENTILE(Q4:Q113,80%)</f>
        <v>456</v>
      </c>
      <c r="X11" s="51">
        <v>50</v>
      </c>
      <c r="Z11" s="8">
        <f>PERCENTILE(X4:X123,30%)</f>
        <v>193.49999999999997</v>
      </c>
      <c r="AA11" s="8">
        <f>PERCENTILE(X4:X123,50%)</f>
        <v>312.5</v>
      </c>
      <c r="AB11" s="8">
        <f>PERCENTILE(X4:X123,70%)</f>
        <v>431.5</v>
      </c>
      <c r="AE11" s="51">
        <v>0.6</v>
      </c>
      <c r="AG11" s="51">
        <f>PERCENTILE(AE4:AE123,25%)</f>
        <v>0.4</v>
      </c>
      <c r="AH11" s="51">
        <f>PERCENTILE(AE4:AE123,50%)</f>
        <v>0.7</v>
      </c>
      <c r="AI11" s="51">
        <f>PERCENTILE(AE4:AE123,75%)</f>
        <v>0.9</v>
      </c>
    </row>
    <row r="12" spans="1:35">
      <c r="A12" s="8">
        <v>70</v>
      </c>
      <c r="C12" s="114"/>
      <c r="I12" s="51">
        <v>78</v>
      </c>
      <c r="Q12" s="51">
        <v>60</v>
      </c>
      <c r="X12" s="51">
        <v>55</v>
      </c>
      <c r="AE12" s="51">
        <v>0.4</v>
      </c>
    </row>
    <row r="13" spans="1:35">
      <c r="A13" s="8">
        <v>72</v>
      </c>
      <c r="I13" s="51">
        <v>80</v>
      </c>
      <c r="K13" s="110"/>
      <c r="Q13" s="51">
        <v>65</v>
      </c>
      <c r="S13" s="110"/>
      <c r="X13" s="51">
        <v>60</v>
      </c>
      <c r="Z13" s="110"/>
      <c r="AE13" s="51">
        <v>1.1000000000000001</v>
      </c>
      <c r="AG13" s="110"/>
    </row>
    <row r="14" spans="1:35">
      <c r="A14" s="8">
        <v>75</v>
      </c>
      <c r="I14" s="51">
        <v>82</v>
      </c>
      <c r="Q14" s="51">
        <v>70</v>
      </c>
      <c r="X14" s="51">
        <v>65</v>
      </c>
      <c r="AE14" s="51">
        <v>0.8</v>
      </c>
    </row>
    <row r="15" spans="1:35">
      <c r="A15" s="8">
        <v>78</v>
      </c>
      <c r="I15" s="51">
        <v>85</v>
      </c>
      <c r="Q15" s="51">
        <v>75</v>
      </c>
      <c r="X15" s="51">
        <v>70</v>
      </c>
      <c r="AE15" s="51">
        <v>0.5</v>
      </c>
    </row>
    <row r="16" spans="1:35">
      <c r="A16" s="8">
        <v>80</v>
      </c>
      <c r="I16" s="51">
        <v>88</v>
      </c>
      <c r="Q16" s="51">
        <v>80</v>
      </c>
      <c r="X16" s="51">
        <v>75</v>
      </c>
      <c r="AE16" s="51">
        <v>0.3</v>
      </c>
    </row>
    <row r="17" spans="1:31">
      <c r="A17" s="8">
        <v>82</v>
      </c>
      <c r="I17" s="51">
        <v>90</v>
      </c>
      <c r="Q17" s="51">
        <v>85</v>
      </c>
      <c r="X17" s="51">
        <v>80</v>
      </c>
      <c r="AE17" s="51">
        <v>0.6</v>
      </c>
    </row>
    <row r="18" spans="1:31">
      <c r="A18" s="8">
        <v>85</v>
      </c>
      <c r="I18" s="51">
        <v>92</v>
      </c>
      <c r="Q18" s="51">
        <v>90</v>
      </c>
      <c r="X18" s="51">
        <v>85</v>
      </c>
      <c r="AE18" s="51">
        <v>1</v>
      </c>
    </row>
    <row r="19" spans="1:31">
      <c r="A19" s="8">
        <v>88</v>
      </c>
      <c r="I19" s="51">
        <v>95</v>
      </c>
      <c r="Q19" s="51">
        <v>95</v>
      </c>
      <c r="X19" s="51">
        <v>90</v>
      </c>
      <c r="AE19" s="51">
        <v>0.4</v>
      </c>
    </row>
    <row r="20" spans="1:31">
      <c r="A20" s="8">
        <v>90</v>
      </c>
      <c r="I20" s="51">
        <v>100</v>
      </c>
      <c r="Q20" s="51">
        <v>100</v>
      </c>
      <c r="X20" s="51">
        <v>95</v>
      </c>
      <c r="AE20" s="51">
        <v>0.5</v>
      </c>
    </row>
    <row r="21" spans="1:31">
      <c r="A21" s="8">
        <v>92</v>
      </c>
      <c r="I21" s="51">
        <v>105</v>
      </c>
      <c r="Q21" s="51">
        <v>105</v>
      </c>
      <c r="X21" s="51">
        <v>100</v>
      </c>
      <c r="AE21" s="51">
        <v>0.7</v>
      </c>
    </row>
    <row r="22" spans="1:31">
      <c r="A22" s="8">
        <v>95</v>
      </c>
      <c r="I22" s="51">
        <v>110</v>
      </c>
      <c r="Q22" s="51">
        <v>110</v>
      </c>
      <c r="X22" s="51">
        <v>105</v>
      </c>
      <c r="AE22" s="51">
        <v>0.9</v>
      </c>
    </row>
    <row r="23" spans="1:31">
      <c r="A23" s="8">
        <v>100</v>
      </c>
      <c r="I23" s="51">
        <v>115</v>
      </c>
      <c r="Q23" s="51">
        <v>115</v>
      </c>
      <c r="X23" s="51">
        <v>110</v>
      </c>
      <c r="AE23" s="51">
        <v>1.3</v>
      </c>
    </row>
    <row r="24" spans="1:31">
      <c r="A24" s="8">
        <v>105</v>
      </c>
      <c r="I24" s="51">
        <v>120</v>
      </c>
      <c r="Q24" s="51">
        <v>120</v>
      </c>
      <c r="X24" s="51">
        <v>115</v>
      </c>
      <c r="AE24" s="51">
        <v>0.8</v>
      </c>
    </row>
    <row r="25" spans="1:31">
      <c r="A25" s="8">
        <v>110</v>
      </c>
      <c r="I25" s="51">
        <v>125</v>
      </c>
      <c r="Q25" s="51">
        <v>125</v>
      </c>
      <c r="X25" s="51">
        <v>120</v>
      </c>
      <c r="AE25" s="51">
        <v>0.6</v>
      </c>
    </row>
    <row r="26" spans="1:31">
      <c r="A26" s="8">
        <v>115</v>
      </c>
      <c r="I26" s="51">
        <v>130</v>
      </c>
      <c r="Q26" s="51">
        <v>130</v>
      </c>
      <c r="X26" s="51">
        <v>125</v>
      </c>
      <c r="AE26" s="51">
        <v>0.4</v>
      </c>
    </row>
    <row r="27" spans="1:31">
      <c r="A27" s="8">
        <v>120</v>
      </c>
      <c r="I27" s="51">
        <v>135</v>
      </c>
      <c r="Q27" s="51">
        <v>135</v>
      </c>
      <c r="X27" s="51">
        <v>130</v>
      </c>
      <c r="AE27" s="51">
        <v>0.7</v>
      </c>
    </row>
    <row r="28" spans="1:31">
      <c r="A28" s="8">
        <v>125</v>
      </c>
      <c r="I28" s="51">
        <v>140</v>
      </c>
      <c r="Q28" s="51">
        <v>140</v>
      </c>
      <c r="X28" s="51">
        <v>135</v>
      </c>
      <c r="AE28" s="51">
        <v>0.9</v>
      </c>
    </row>
    <row r="29" spans="1:31">
      <c r="A29" s="8">
        <v>130</v>
      </c>
      <c r="I29" s="51">
        <v>145</v>
      </c>
      <c r="Q29" s="51">
        <v>145</v>
      </c>
      <c r="X29" s="51">
        <v>140</v>
      </c>
      <c r="AE29" s="51">
        <v>0.5</v>
      </c>
    </row>
    <row r="30" spans="1:31">
      <c r="A30" s="8">
        <v>135</v>
      </c>
      <c r="I30" s="51">
        <v>150</v>
      </c>
      <c r="Q30" s="51">
        <v>150</v>
      </c>
      <c r="X30" s="51">
        <v>145</v>
      </c>
      <c r="AE30" s="51">
        <v>0.2</v>
      </c>
    </row>
    <row r="31" spans="1:31">
      <c r="A31" s="8">
        <v>140</v>
      </c>
      <c r="I31" s="51">
        <v>155</v>
      </c>
      <c r="Q31" s="51">
        <v>155</v>
      </c>
      <c r="X31" s="51">
        <v>150</v>
      </c>
      <c r="AE31" s="51">
        <v>1</v>
      </c>
    </row>
    <row r="32" spans="1:31">
      <c r="A32" s="8">
        <v>145</v>
      </c>
      <c r="I32" s="51">
        <v>160</v>
      </c>
      <c r="Q32" s="51">
        <v>160</v>
      </c>
      <c r="X32" s="51">
        <v>155</v>
      </c>
      <c r="AE32" s="51">
        <v>0.8</v>
      </c>
    </row>
    <row r="33" spans="1:31">
      <c r="A33" s="8">
        <v>150</v>
      </c>
      <c r="I33" s="51">
        <v>165</v>
      </c>
      <c r="Q33" s="51">
        <v>165</v>
      </c>
      <c r="X33" s="51">
        <v>160</v>
      </c>
      <c r="AE33" s="51">
        <v>0.3</v>
      </c>
    </row>
    <row r="34" spans="1:31">
      <c r="A34" s="8">
        <v>155</v>
      </c>
      <c r="I34" s="51">
        <v>170</v>
      </c>
      <c r="Q34" s="51">
        <v>170</v>
      </c>
      <c r="X34" s="51">
        <v>165</v>
      </c>
      <c r="AE34" s="51">
        <v>0.6</v>
      </c>
    </row>
    <row r="35" spans="1:31">
      <c r="A35" s="8">
        <v>160</v>
      </c>
      <c r="I35" s="51">
        <v>175</v>
      </c>
      <c r="Q35" s="51">
        <v>175</v>
      </c>
      <c r="X35" s="51">
        <v>170</v>
      </c>
      <c r="AE35" s="51">
        <v>0.4</v>
      </c>
    </row>
    <row r="36" spans="1:31">
      <c r="A36" s="8">
        <v>165</v>
      </c>
      <c r="I36" s="51">
        <v>180</v>
      </c>
      <c r="Q36" s="51">
        <v>180</v>
      </c>
      <c r="X36" s="51">
        <v>175</v>
      </c>
      <c r="AE36" s="51">
        <v>0.7</v>
      </c>
    </row>
    <row r="37" spans="1:31">
      <c r="A37" s="8">
        <v>170</v>
      </c>
      <c r="I37" s="51">
        <v>185</v>
      </c>
      <c r="Q37" s="51">
        <v>185</v>
      </c>
      <c r="X37" s="51">
        <v>180</v>
      </c>
      <c r="AE37" s="51">
        <v>0.9</v>
      </c>
    </row>
    <row r="38" spans="1:31">
      <c r="A38" s="8">
        <v>175</v>
      </c>
      <c r="I38" s="51">
        <v>190</v>
      </c>
      <c r="Q38" s="51">
        <v>190</v>
      </c>
      <c r="X38" s="51">
        <v>185</v>
      </c>
      <c r="AE38" s="51">
        <v>1.2</v>
      </c>
    </row>
    <row r="39" spans="1:31">
      <c r="A39" s="8">
        <v>180</v>
      </c>
      <c r="I39" s="51">
        <v>195</v>
      </c>
      <c r="Q39" s="51">
        <v>195</v>
      </c>
      <c r="X39" s="51">
        <v>190</v>
      </c>
      <c r="AE39" s="51">
        <v>0.8</v>
      </c>
    </row>
    <row r="40" spans="1:31">
      <c r="A40" s="8">
        <v>185</v>
      </c>
      <c r="I40" s="51">
        <v>200</v>
      </c>
      <c r="Q40" s="51">
        <v>200</v>
      </c>
      <c r="X40" s="51">
        <v>195</v>
      </c>
      <c r="AE40" s="51">
        <v>0.3</v>
      </c>
    </row>
    <row r="41" spans="1:31">
      <c r="A41" s="8">
        <v>190</v>
      </c>
      <c r="I41" s="51">
        <v>205</v>
      </c>
      <c r="Q41" s="51">
        <v>205</v>
      </c>
      <c r="X41" s="51">
        <v>200</v>
      </c>
      <c r="AE41" s="51">
        <v>0.6</v>
      </c>
    </row>
    <row r="42" spans="1:31">
      <c r="A42" s="8">
        <v>195</v>
      </c>
      <c r="I42" s="51">
        <v>210</v>
      </c>
      <c r="Q42" s="51">
        <v>210</v>
      </c>
      <c r="X42" s="51">
        <v>205</v>
      </c>
      <c r="AE42" s="51">
        <v>0.5</v>
      </c>
    </row>
    <row r="43" spans="1:31">
      <c r="A43" s="8">
        <v>200</v>
      </c>
      <c r="I43" s="51">
        <v>215</v>
      </c>
      <c r="Q43" s="51">
        <v>215</v>
      </c>
      <c r="X43" s="51">
        <v>210</v>
      </c>
      <c r="AE43" s="51">
        <v>0.4</v>
      </c>
    </row>
    <row r="44" spans="1:31">
      <c r="A44" s="8">
        <v>205</v>
      </c>
      <c r="I44" s="51">
        <v>220</v>
      </c>
      <c r="Q44" s="51">
        <v>220</v>
      </c>
      <c r="X44" s="51">
        <v>215</v>
      </c>
      <c r="AE44" s="51">
        <v>0.7</v>
      </c>
    </row>
    <row r="45" spans="1:31">
      <c r="A45" s="8">
        <v>210</v>
      </c>
      <c r="I45" s="51">
        <v>225</v>
      </c>
      <c r="Q45" s="51">
        <v>225</v>
      </c>
      <c r="X45" s="51">
        <v>220</v>
      </c>
      <c r="AE45" s="51">
        <v>0.9</v>
      </c>
    </row>
    <row r="46" spans="1:31">
      <c r="A46" s="8">
        <v>215</v>
      </c>
      <c r="I46" s="51">
        <v>230</v>
      </c>
      <c r="Q46" s="51">
        <v>230</v>
      </c>
      <c r="X46" s="51">
        <v>225</v>
      </c>
      <c r="AE46" s="51">
        <v>1.1000000000000001</v>
      </c>
    </row>
    <row r="47" spans="1:31">
      <c r="A47" s="8">
        <v>220</v>
      </c>
      <c r="I47" s="51">
        <v>235</v>
      </c>
      <c r="Q47" s="51">
        <v>235</v>
      </c>
      <c r="X47" s="51">
        <v>230</v>
      </c>
      <c r="AE47" s="51">
        <v>0.3</v>
      </c>
    </row>
    <row r="48" spans="1:31">
      <c r="A48" s="8">
        <v>225</v>
      </c>
      <c r="I48" s="51">
        <v>240</v>
      </c>
      <c r="Q48" s="51">
        <v>240</v>
      </c>
      <c r="X48" s="51">
        <v>235</v>
      </c>
      <c r="AE48" s="51">
        <v>1.4</v>
      </c>
    </row>
    <row r="49" spans="1:31">
      <c r="A49" s="8">
        <v>230</v>
      </c>
      <c r="I49" s="51">
        <v>245</v>
      </c>
      <c r="Q49" s="51">
        <v>245</v>
      </c>
      <c r="X49" s="51">
        <v>240</v>
      </c>
      <c r="AE49" s="51">
        <v>0</v>
      </c>
    </row>
    <row r="50" spans="1:31">
      <c r="A50" s="8">
        <v>235</v>
      </c>
      <c r="I50" s="51">
        <v>250</v>
      </c>
      <c r="Q50" s="51">
        <v>250</v>
      </c>
      <c r="X50" s="51">
        <v>245</v>
      </c>
      <c r="AE50" s="51">
        <v>9</v>
      </c>
    </row>
    <row r="51" spans="1:31">
      <c r="A51" s="8">
        <v>240</v>
      </c>
      <c r="I51" s="51">
        <v>255</v>
      </c>
      <c r="Q51" s="51">
        <v>255</v>
      </c>
      <c r="X51" s="51">
        <v>250</v>
      </c>
      <c r="AE51" s="51">
        <v>0.6</v>
      </c>
    </row>
    <row r="52" spans="1:31">
      <c r="A52" s="8">
        <v>245</v>
      </c>
      <c r="I52" s="51">
        <v>260</v>
      </c>
      <c r="Q52" s="51">
        <v>260</v>
      </c>
      <c r="X52" s="51">
        <v>255</v>
      </c>
      <c r="AE52" s="51">
        <v>0.2</v>
      </c>
    </row>
    <row r="53" spans="1:31">
      <c r="A53" s="8">
        <v>250</v>
      </c>
      <c r="I53" s="51">
        <v>265</v>
      </c>
      <c r="Q53" s="51">
        <v>265</v>
      </c>
      <c r="X53" s="51">
        <v>260</v>
      </c>
      <c r="AE53" s="51">
        <v>1.5</v>
      </c>
    </row>
    <row r="54" spans="1:31">
      <c r="A54" s="8">
        <v>255</v>
      </c>
      <c r="I54" s="51">
        <v>270</v>
      </c>
      <c r="Q54" s="51">
        <v>270</v>
      </c>
      <c r="X54" s="51">
        <v>265</v>
      </c>
      <c r="AE54" s="51" t="s">
        <v>354</v>
      </c>
    </row>
    <row r="55" spans="1:31">
      <c r="A55" s="8">
        <v>260</v>
      </c>
      <c r="I55" s="51">
        <v>275</v>
      </c>
      <c r="Q55" s="51">
        <v>275</v>
      </c>
      <c r="X55" s="51">
        <v>270</v>
      </c>
      <c r="AE55" s="51">
        <v>0.4</v>
      </c>
    </row>
    <row r="56" spans="1:31">
      <c r="A56" s="8">
        <v>265</v>
      </c>
      <c r="I56" s="51">
        <v>280</v>
      </c>
      <c r="Q56" s="51">
        <v>280</v>
      </c>
      <c r="X56" s="51">
        <v>275</v>
      </c>
      <c r="AE56" s="51">
        <v>0.7</v>
      </c>
    </row>
    <row r="57" spans="1:31">
      <c r="A57" s="8">
        <v>270</v>
      </c>
      <c r="I57" s="51">
        <v>285</v>
      </c>
      <c r="Q57" s="51">
        <v>285</v>
      </c>
      <c r="X57" s="51">
        <v>280</v>
      </c>
      <c r="AE57" s="51">
        <v>1</v>
      </c>
    </row>
    <row r="58" spans="1:31">
      <c r="A58" s="8">
        <v>275</v>
      </c>
      <c r="I58" s="51">
        <v>290</v>
      </c>
      <c r="Q58" s="51">
        <v>290</v>
      </c>
      <c r="X58" s="51">
        <v>285</v>
      </c>
      <c r="AE58" s="51">
        <v>0.8</v>
      </c>
    </row>
    <row r="59" spans="1:31">
      <c r="A59" s="8">
        <v>280</v>
      </c>
      <c r="I59" s="51">
        <v>295</v>
      </c>
      <c r="Q59" s="51">
        <v>295</v>
      </c>
      <c r="X59" s="51">
        <v>290</v>
      </c>
      <c r="AE59" s="51">
        <v>0.3</v>
      </c>
    </row>
    <row r="60" spans="1:31">
      <c r="A60" s="8">
        <v>285</v>
      </c>
      <c r="I60" s="51">
        <v>300</v>
      </c>
      <c r="Q60" s="51">
        <v>300</v>
      </c>
      <c r="X60" s="51">
        <v>295</v>
      </c>
      <c r="AE60" s="51">
        <v>0.5</v>
      </c>
    </row>
    <row r="61" spans="1:31">
      <c r="A61" s="8">
        <v>290</v>
      </c>
      <c r="I61" s="51">
        <v>305</v>
      </c>
      <c r="Q61" s="51">
        <v>305</v>
      </c>
      <c r="X61" s="51">
        <v>300</v>
      </c>
      <c r="AE61" s="51">
        <v>0.8</v>
      </c>
    </row>
    <row r="62" spans="1:31">
      <c r="A62" s="8">
        <v>295</v>
      </c>
      <c r="I62" s="51">
        <v>310</v>
      </c>
      <c r="Q62" s="51">
        <v>310</v>
      </c>
      <c r="X62" s="51">
        <v>305</v>
      </c>
      <c r="AE62" s="51">
        <v>0.6</v>
      </c>
    </row>
    <row r="63" spans="1:31">
      <c r="A63" s="8">
        <v>300</v>
      </c>
      <c r="I63" s="51">
        <v>315</v>
      </c>
      <c r="Q63" s="51">
        <v>315</v>
      </c>
      <c r="X63" s="51">
        <v>310</v>
      </c>
      <c r="AE63" s="51">
        <v>0.3</v>
      </c>
    </row>
    <row r="64" spans="1:31">
      <c r="A64" s="8">
        <v>305</v>
      </c>
      <c r="I64" s="51">
        <v>320</v>
      </c>
      <c r="Q64" s="51">
        <v>320</v>
      </c>
      <c r="X64" s="51">
        <v>315</v>
      </c>
      <c r="AE64" s="51" t="s">
        <v>355</v>
      </c>
    </row>
    <row r="65" spans="1:31">
      <c r="A65" s="8">
        <v>310</v>
      </c>
      <c r="I65" s="51">
        <v>325</v>
      </c>
      <c r="Q65" s="51">
        <v>325</v>
      </c>
      <c r="X65" s="51">
        <v>320</v>
      </c>
      <c r="AE65" s="51">
        <v>0.7</v>
      </c>
    </row>
    <row r="66" spans="1:31">
      <c r="A66" s="8">
        <v>315</v>
      </c>
      <c r="I66" s="51">
        <v>330</v>
      </c>
      <c r="Q66" s="51">
        <v>330</v>
      </c>
      <c r="X66" s="51">
        <v>325</v>
      </c>
      <c r="AE66" s="51">
        <v>0.9</v>
      </c>
    </row>
    <row r="67" spans="1:31">
      <c r="A67" s="8">
        <v>320</v>
      </c>
      <c r="I67" s="51">
        <v>335</v>
      </c>
      <c r="Q67" s="51">
        <v>335</v>
      </c>
      <c r="X67" s="51">
        <v>330</v>
      </c>
      <c r="AE67" s="51">
        <v>1</v>
      </c>
    </row>
    <row r="68" spans="1:31">
      <c r="A68" s="8">
        <v>325</v>
      </c>
      <c r="I68" s="51">
        <v>340</v>
      </c>
      <c r="Q68" s="51">
        <v>340</v>
      </c>
      <c r="X68" s="51">
        <v>335</v>
      </c>
      <c r="AE68" s="51">
        <v>0.8</v>
      </c>
    </row>
    <row r="69" spans="1:31">
      <c r="A69" s="8">
        <v>330</v>
      </c>
      <c r="I69" s="51">
        <v>345</v>
      </c>
      <c r="Q69" s="51">
        <v>345</v>
      </c>
      <c r="X69" s="51">
        <v>340</v>
      </c>
      <c r="AE69" s="51">
        <v>0.3</v>
      </c>
    </row>
    <row r="70" spans="1:31">
      <c r="A70" s="8">
        <v>335</v>
      </c>
      <c r="I70" s="51">
        <v>350</v>
      </c>
      <c r="Q70" s="51">
        <v>350</v>
      </c>
      <c r="X70" s="51">
        <v>345</v>
      </c>
      <c r="AE70" s="51">
        <v>0.5</v>
      </c>
    </row>
    <row r="71" spans="1:31">
      <c r="A71" s="8">
        <v>340</v>
      </c>
      <c r="I71" s="51">
        <v>355</v>
      </c>
      <c r="Q71" s="51">
        <v>355</v>
      </c>
      <c r="X71" s="51">
        <v>350</v>
      </c>
      <c r="AE71" s="51">
        <v>0.6</v>
      </c>
    </row>
    <row r="72" spans="1:31">
      <c r="A72" s="8">
        <v>345</v>
      </c>
      <c r="I72" s="51">
        <v>360</v>
      </c>
      <c r="Q72" s="51">
        <v>360</v>
      </c>
      <c r="X72" s="51">
        <v>355</v>
      </c>
      <c r="AE72" s="51">
        <v>0.4</v>
      </c>
    </row>
    <row r="73" spans="1:31">
      <c r="A73" s="8">
        <v>350</v>
      </c>
      <c r="I73" s="51">
        <v>365</v>
      </c>
      <c r="Q73" s="51">
        <v>365</v>
      </c>
      <c r="X73" s="51">
        <v>360</v>
      </c>
      <c r="AE73" s="51">
        <v>0.7</v>
      </c>
    </row>
    <row r="74" spans="1:31">
      <c r="A74" s="8">
        <v>355</v>
      </c>
      <c r="I74" s="51">
        <v>370</v>
      </c>
      <c r="Q74" s="51">
        <v>370</v>
      </c>
      <c r="X74" s="51">
        <v>365</v>
      </c>
      <c r="AE74" s="51">
        <v>0.9</v>
      </c>
    </row>
    <row r="75" spans="1:31">
      <c r="A75" s="8">
        <v>360</v>
      </c>
      <c r="I75" s="51">
        <v>375</v>
      </c>
      <c r="Q75" s="51">
        <v>375</v>
      </c>
      <c r="X75" s="51">
        <v>370</v>
      </c>
      <c r="AE75" s="51">
        <v>1.1000000000000001</v>
      </c>
    </row>
    <row r="76" spans="1:31">
      <c r="A76" s="8">
        <v>365</v>
      </c>
      <c r="I76" s="51">
        <v>380</v>
      </c>
      <c r="Q76" s="51">
        <v>380</v>
      </c>
      <c r="X76" s="51">
        <v>375</v>
      </c>
      <c r="AE76" s="51">
        <v>0.8</v>
      </c>
    </row>
    <row r="77" spans="1:31">
      <c r="A77" s="8">
        <v>370</v>
      </c>
      <c r="I77" s="51">
        <v>385</v>
      </c>
      <c r="Q77" s="51">
        <v>385</v>
      </c>
      <c r="X77" s="51">
        <v>380</v>
      </c>
      <c r="AE77" s="51">
        <v>0.3</v>
      </c>
    </row>
    <row r="78" spans="1:31">
      <c r="A78" s="8">
        <v>375</v>
      </c>
      <c r="I78" s="51">
        <v>390</v>
      </c>
      <c r="Q78" s="51">
        <v>390</v>
      </c>
      <c r="X78" s="51">
        <v>385</v>
      </c>
      <c r="AE78" s="51">
        <v>0.5</v>
      </c>
    </row>
    <row r="79" spans="1:31">
      <c r="A79" s="8">
        <v>380</v>
      </c>
      <c r="I79" s="51">
        <v>395</v>
      </c>
      <c r="Q79" s="51">
        <v>395</v>
      </c>
      <c r="X79" s="51">
        <v>390</v>
      </c>
      <c r="AE79" s="51">
        <v>0.6</v>
      </c>
    </row>
    <row r="80" spans="1:31">
      <c r="A80" s="8">
        <v>385</v>
      </c>
      <c r="I80" s="51">
        <v>400</v>
      </c>
      <c r="Q80" s="51">
        <v>400</v>
      </c>
      <c r="X80" s="51">
        <v>395</v>
      </c>
      <c r="AE80" s="51">
        <v>0.4</v>
      </c>
    </row>
    <row r="81" spans="1:31">
      <c r="A81" s="8">
        <v>390</v>
      </c>
      <c r="I81" s="51">
        <v>405</v>
      </c>
      <c r="Q81" s="51">
        <v>405</v>
      </c>
      <c r="X81" s="51">
        <v>400</v>
      </c>
      <c r="AE81" s="51">
        <v>0.7</v>
      </c>
    </row>
    <row r="82" spans="1:31">
      <c r="A82" s="8">
        <v>395</v>
      </c>
      <c r="I82" s="51">
        <v>410</v>
      </c>
      <c r="Q82" s="51">
        <v>410</v>
      </c>
      <c r="X82" s="51">
        <v>405</v>
      </c>
      <c r="AE82" s="51">
        <v>0.9</v>
      </c>
    </row>
    <row r="83" spans="1:31">
      <c r="A83" s="8">
        <v>400</v>
      </c>
      <c r="I83" s="51">
        <v>415</v>
      </c>
      <c r="Q83" s="51">
        <v>415</v>
      </c>
      <c r="X83" s="51">
        <v>410</v>
      </c>
      <c r="AE83" s="51">
        <v>1</v>
      </c>
    </row>
    <row r="84" spans="1:31">
      <c r="A84" s="8">
        <v>405</v>
      </c>
      <c r="I84" s="51">
        <v>420</v>
      </c>
      <c r="Q84" s="51">
        <v>420</v>
      </c>
      <c r="X84" s="51">
        <v>415</v>
      </c>
      <c r="AE84" s="51">
        <v>0.8</v>
      </c>
    </row>
    <row r="85" spans="1:31">
      <c r="A85" s="8">
        <v>410</v>
      </c>
      <c r="I85" s="51">
        <v>425</v>
      </c>
      <c r="Q85" s="51">
        <v>425</v>
      </c>
      <c r="X85" s="51">
        <v>420</v>
      </c>
      <c r="AE85" s="51">
        <v>0.3</v>
      </c>
    </row>
    <row r="86" spans="1:31">
      <c r="A86" s="8">
        <v>415</v>
      </c>
      <c r="I86" s="51">
        <v>430</v>
      </c>
      <c r="Q86" s="51">
        <v>430</v>
      </c>
      <c r="X86" s="51">
        <v>425</v>
      </c>
      <c r="AE86" s="51">
        <v>0.5</v>
      </c>
    </row>
    <row r="87" spans="1:31">
      <c r="A87" s="8">
        <v>420</v>
      </c>
      <c r="I87" s="51">
        <v>435</v>
      </c>
      <c r="Q87" s="51">
        <v>435</v>
      </c>
      <c r="X87" s="51">
        <v>430</v>
      </c>
      <c r="AE87" s="51">
        <v>0.6</v>
      </c>
    </row>
    <row r="88" spans="1:31">
      <c r="A88" s="8">
        <v>425</v>
      </c>
      <c r="I88" s="51">
        <v>440</v>
      </c>
      <c r="Q88" s="51">
        <v>440</v>
      </c>
      <c r="X88" s="51">
        <v>435</v>
      </c>
      <c r="AE88" s="51">
        <v>0.4</v>
      </c>
    </row>
    <row r="89" spans="1:31">
      <c r="A89" s="8">
        <v>430</v>
      </c>
      <c r="I89" s="51">
        <v>445</v>
      </c>
      <c r="Q89" s="51">
        <v>445</v>
      </c>
      <c r="X89" s="51">
        <v>440</v>
      </c>
      <c r="AE89" s="51">
        <v>0.7</v>
      </c>
    </row>
    <row r="90" spans="1:31">
      <c r="A90" s="8">
        <v>435</v>
      </c>
      <c r="I90" s="51">
        <v>450</v>
      </c>
      <c r="Q90" s="51">
        <v>450</v>
      </c>
      <c r="X90" s="51">
        <v>445</v>
      </c>
      <c r="AE90" s="51">
        <v>0.9</v>
      </c>
    </row>
    <row r="91" spans="1:31">
      <c r="A91" s="8">
        <v>440</v>
      </c>
      <c r="I91" s="51">
        <v>455</v>
      </c>
      <c r="Q91" s="51">
        <v>455</v>
      </c>
      <c r="X91" s="51">
        <v>450</v>
      </c>
      <c r="AE91" s="51">
        <v>1.1000000000000001</v>
      </c>
    </row>
    <row r="92" spans="1:31">
      <c r="A92" s="8">
        <v>445</v>
      </c>
      <c r="I92" s="51">
        <v>460</v>
      </c>
      <c r="Q92" s="51">
        <v>460</v>
      </c>
      <c r="X92" s="51">
        <v>455</v>
      </c>
      <c r="AE92" s="51">
        <v>0.8</v>
      </c>
    </row>
    <row r="93" spans="1:31">
      <c r="A93" s="8">
        <v>450</v>
      </c>
      <c r="I93" s="51">
        <v>465</v>
      </c>
      <c r="Q93" s="51">
        <v>465</v>
      </c>
      <c r="X93" s="51">
        <v>460</v>
      </c>
      <c r="AE93" s="51">
        <v>0.3</v>
      </c>
    </row>
    <row r="94" spans="1:31">
      <c r="A94" s="8">
        <v>455</v>
      </c>
      <c r="I94" s="51">
        <v>470</v>
      </c>
      <c r="Q94" s="51">
        <v>470</v>
      </c>
      <c r="X94" s="51">
        <v>465</v>
      </c>
      <c r="AE94" s="51">
        <v>0.5</v>
      </c>
    </row>
    <row r="95" spans="1:31">
      <c r="A95" s="8">
        <v>460</v>
      </c>
      <c r="I95" s="51">
        <v>475</v>
      </c>
      <c r="Q95" s="51">
        <v>475</v>
      </c>
      <c r="X95" s="51">
        <v>470</v>
      </c>
      <c r="AE95" s="51">
        <v>0.6</v>
      </c>
    </row>
    <row r="96" spans="1:31">
      <c r="A96" s="8">
        <v>465</v>
      </c>
      <c r="I96" s="51">
        <v>480</v>
      </c>
      <c r="Q96" s="51">
        <v>480</v>
      </c>
      <c r="X96" s="51">
        <v>475</v>
      </c>
      <c r="AE96" s="51">
        <v>0.4</v>
      </c>
    </row>
    <row r="97" spans="1:31">
      <c r="A97" s="8">
        <v>470</v>
      </c>
      <c r="I97" s="51">
        <v>485</v>
      </c>
      <c r="Q97" s="51">
        <v>485</v>
      </c>
      <c r="X97" s="51">
        <v>480</v>
      </c>
      <c r="AE97" s="51">
        <v>0.7</v>
      </c>
    </row>
    <row r="98" spans="1:31">
      <c r="A98" s="8">
        <v>475</v>
      </c>
      <c r="I98" s="51">
        <v>490</v>
      </c>
      <c r="Q98" s="51">
        <v>490</v>
      </c>
      <c r="X98" s="51">
        <v>485</v>
      </c>
      <c r="AE98" s="51">
        <v>0.9</v>
      </c>
    </row>
    <row r="99" spans="1:31">
      <c r="A99" s="8">
        <v>480</v>
      </c>
      <c r="I99" s="51">
        <v>495</v>
      </c>
      <c r="Q99" s="51">
        <v>495</v>
      </c>
      <c r="X99" s="51">
        <v>490</v>
      </c>
      <c r="AE99" s="51">
        <v>1</v>
      </c>
    </row>
    <row r="100" spans="1:31">
      <c r="A100" s="8">
        <v>485</v>
      </c>
      <c r="I100" s="51">
        <v>500</v>
      </c>
      <c r="Q100" s="51">
        <v>500</v>
      </c>
      <c r="X100" s="51">
        <v>495</v>
      </c>
      <c r="AE100" s="51">
        <v>0.8</v>
      </c>
    </row>
    <row r="101" spans="1:31">
      <c r="A101" s="8">
        <v>490</v>
      </c>
      <c r="I101" s="51">
        <v>505</v>
      </c>
      <c r="Q101" s="51">
        <v>505</v>
      </c>
      <c r="X101" s="51">
        <v>500</v>
      </c>
      <c r="AE101" s="51">
        <v>0.3</v>
      </c>
    </row>
    <row r="102" spans="1:31">
      <c r="A102" s="8">
        <v>495</v>
      </c>
      <c r="I102" s="51">
        <v>510</v>
      </c>
      <c r="Q102" s="51">
        <v>510</v>
      </c>
      <c r="X102" s="51">
        <v>505</v>
      </c>
      <c r="AE102" s="51">
        <v>0.5</v>
      </c>
    </row>
    <row r="103" spans="1:31">
      <c r="A103" s="8">
        <v>500</v>
      </c>
      <c r="I103" s="51">
        <v>515</v>
      </c>
      <c r="Q103" s="51">
        <v>515</v>
      </c>
      <c r="X103" s="51">
        <v>510</v>
      </c>
      <c r="AE103" s="51">
        <v>0.6</v>
      </c>
    </row>
    <row r="104" spans="1:31">
      <c r="Q104" s="51">
        <v>520</v>
      </c>
      <c r="X104" s="51">
        <v>515</v>
      </c>
      <c r="AE104" s="51">
        <v>0.4</v>
      </c>
    </row>
    <row r="105" spans="1:31">
      <c r="Q105" s="51">
        <v>525</v>
      </c>
      <c r="X105" s="51">
        <v>520</v>
      </c>
      <c r="AE105" s="51">
        <v>0.7</v>
      </c>
    </row>
    <row r="106" spans="1:31">
      <c r="Q106" s="51">
        <v>530</v>
      </c>
      <c r="X106" s="51">
        <v>525</v>
      </c>
      <c r="AE106" s="51">
        <v>0.9</v>
      </c>
    </row>
    <row r="107" spans="1:31">
      <c r="Q107" s="51">
        <v>535</v>
      </c>
      <c r="X107" s="51">
        <v>530</v>
      </c>
      <c r="AE107" s="51">
        <v>1.1000000000000001</v>
      </c>
    </row>
    <row r="108" spans="1:31">
      <c r="Q108" s="51">
        <v>540</v>
      </c>
      <c r="X108" s="51">
        <v>535</v>
      </c>
      <c r="AE108" s="51">
        <v>0.8</v>
      </c>
    </row>
    <row r="109" spans="1:31">
      <c r="Q109" s="51">
        <v>545</v>
      </c>
      <c r="X109" s="51">
        <v>540</v>
      </c>
      <c r="AE109" s="51">
        <v>0.3</v>
      </c>
    </row>
    <row r="110" spans="1:31">
      <c r="Q110" s="51">
        <v>550</v>
      </c>
      <c r="X110" s="51">
        <v>545</v>
      </c>
      <c r="AE110" s="51">
        <v>0.5</v>
      </c>
    </row>
    <row r="111" spans="1:31">
      <c r="Q111" s="51">
        <v>555</v>
      </c>
      <c r="X111" s="51">
        <v>550</v>
      </c>
      <c r="AE111" s="51">
        <v>0.6</v>
      </c>
    </row>
    <row r="112" spans="1:31">
      <c r="Q112" s="51">
        <v>560</v>
      </c>
      <c r="X112" s="51">
        <v>555</v>
      </c>
      <c r="AE112" s="51">
        <v>0.4</v>
      </c>
    </row>
    <row r="113" spans="17:31">
      <c r="Q113" s="51">
        <v>565</v>
      </c>
      <c r="X113" s="51">
        <v>560</v>
      </c>
      <c r="AE113" s="51">
        <v>0.7</v>
      </c>
    </row>
    <row r="114" spans="17:31">
      <c r="X114" s="51">
        <v>565</v>
      </c>
      <c r="AE114" s="51">
        <v>0.9</v>
      </c>
    </row>
    <row r="115" spans="17:31">
      <c r="X115" s="51">
        <v>570</v>
      </c>
      <c r="AE115" s="51">
        <v>1</v>
      </c>
    </row>
    <row r="116" spans="17:31">
      <c r="X116" s="51">
        <v>575</v>
      </c>
      <c r="AE116" s="51">
        <v>0.8</v>
      </c>
    </row>
    <row r="117" spans="17:31">
      <c r="X117" s="51">
        <v>580</v>
      </c>
      <c r="AE117" s="51">
        <v>0.3</v>
      </c>
    </row>
    <row r="118" spans="17:31">
      <c r="X118" s="51">
        <v>585</v>
      </c>
      <c r="AE118" s="51">
        <v>0.5</v>
      </c>
    </row>
    <row r="119" spans="17:31">
      <c r="X119" s="51">
        <v>590</v>
      </c>
      <c r="AE119" s="51">
        <v>0.6</v>
      </c>
    </row>
    <row r="120" spans="17:31">
      <c r="X120" s="51">
        <v>595</v>
      </c>
      <c r="AE120" s="51">
        <v>0.4</v>
      </c>
    </row>
    <row r="121" spans="17:31">
      <c r="X121" s="51">
        <v>600</v>
      </c>
      <c r="AE121" s="51">
        <v>0.7</v>
      </c>
    </row>
    <row r="122" spans="17:31">
      <c r="X122" s="51">
        <v>605</v>
      </c>
      <c r="AE122" s="51">
        <v>0.9</v>
      </c>
    </row>
    <row r="123" spans="17:31">
      <c r="X123" s="51">
        <v>610</v>
      </c>
      <c r="AE123" s="51">
        <v>1.1000000000000001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BB032-0D7F-4959-A69B-B68047F8DB2F}">
  <dimension ref="A1:R33"/>
  <sheetViews>
    <sheetView workbookViewId="0">
      <selection activeCell="C9" sqref="C9"/>
    </sheetView>
  </sheetViews>
  <sheetFormatPr defaultRowHeight="12.75"/>
  <cols>
    <col min="1" max="1" width="23.33203125" bestFit="1" customWidth="1"/>
    <col min="2" max="2" width="24.5" bestFit="1" customWidth="1"/>
    <col min="3" max="3" width="15" bestFit="1" customWidth="1"/>
    <col min="6" max="7" width="11.83203125" bestFit="1" customWidth="1"/>
    <col min="9" max="9" width="11.83203125" bestFit="1" customWidth="1"/>
    <col min="10" max="11" width="12.33203125" bestFit="1" customWidth="1"/>
    <col min="13" max="13" width="21.33203125" bestFit="1" customWidth="1"/>
    <col min="14" max="14" width="12.1640625" bestFit="1" customWidth="1"/>
    <col min="16" max="16" width="21.33203125" bestFit="1" customWidth="1"/>
    <col min="17" max="17" width="22.1640625" bestFit="1" customWidth="1"/>
    <col min="18" max="18" width="13.33203125" bestFit="1" customWidth="1"/>
  </cols>
  <sheetData>
    <row r="1" spans="1:18">
      <c r="A1" s="35" t="s">
        <v>225</v>
      </c>
      <c r="F1" s="35" t="s">
        <v>226</v>
      </c>
      <c r="M1" s="31" t="s">
        <v>233</v>
      </c>
    </row>
    <row r="3" spans="1:18">
      <c r="F3" s="36" t="s">
        <v>359</v>
      </c>
      <c r="G3" s="36" t="s">
        <v>360</v>
      </c>
      <c r="M3" s="29" t="s">
        <v>361</v>
      </c>
      <c r="N3" s="29" t="s">
        <v>362</v>
      </c>
      <c r="O3" s="10"/>
    </row>
    <row r="4" spans="1:18" ht="13.5" thickBot="1">
      <c r="A4" s="36" t="s">
        <v>357</v>
      </c>
      <c r="B4" s="36" t="s">
        <v>358</v>
      </c>
      <c r="F4" s="8">
        <v>45</v>
      </c>
      <c r="G4" s="8">
        <v>52</v>
      </c>
      <c r="M4" s="15">
        <v>10</v>
      </c>
      <c r="N4" s="15">
        <v>60</v>
      </c>
      <c r="O4" s="10"/>
    </row>
    <row r="5" spans="1:18">
      <c r="A5" s="8">
        <v>10</v>
      </c>
      <c r="B5" s="8">
        <v>50</v>
      </c>
      <c r="F5" s="8">
        <v>47</v>
      </c>
      <c r="G5" s="8">
        <v>54</v>
      </c>
      <c r="I5" s="57"/>
      <c r="J5" s="57" t="s">
        <v>359</v>
      </c>
      <c r="K5" s="57" t="s">
        <v>360</v>
      </c>
      <c r="M5" s="8">
        <v>12</v>
      </c>
      <c r="N5" s="8">
        <v>65</v>
      </c>
      <c r="P5" s="57"/>
      <c r="Q5" s="57" t="s">
        <v>361</v>
      </c>
      <c r="R5" s="57" t="s">
        <v>362</v>
      </c>
    </row>
    <row r="6" spans="1:18">
      <c r="A6" s="8">
        <v>12</v>
      </c>
      <c r="B6" s="8">
        <v>55</v>
      </c>
      <c r="F6" s="8">
        <v>48</v>
      </c>
      <c r="G6" s="8">
        <v>55</v>
      </c>
      <c r="I6" s="55" t="s">
        <v>359</v>
      </c>
      <c r="J6" s="55">
        <f>VARP('corelation &amp; covariance'!$F$4:$F$23)</f>
        <v>96.8</v>
      </c>
      <c r="K6" s="55"/>
      <c r="M6" s="8">
        <v>15</v>
      </c>
      <c r="N6" s="8">
        <v>70</v>
      </c>
      <c r="P6" s="55" t="s">
        <v>361</v>
      </c>
      <c r="Q6" s="55">
        <v>1</v>
      </c>
      <c r="R6" s="55"/>
    </row>
    <row r="7" spans="1:18" ht="13.5" thickBot="1">
      <c r="A7" s="8">
        <v>15</v>
      </c>
      <c r="B7" s="8">
        <v>60</v>
      </c>
      <c r="F7" s="8">
        <v>50</v>
      </c>
      <c r="G7" s="8">
        <v>57</v>
      </c>
      <c r="I7" s="56" t="s">
        <v>360</v>
      </c>
      <c r="J7" s="56">
        <v>92.65</v>
      </c>
      <c r="K7" s="56">
        <f>VARP('corelation &amp; covariance'!$G$4:$G$23)</f>
        <v>88.927499999999995</v>
      </c>
      <c r="M7" s="8">
        <v>18</v>
      </c>
      <c r="N7" s="8">
        <v>75</v>
      </c>
      <c r="P7" s="56" t="s">
        <v>362</v>
      </c>
      <c r="Q7" s="56">
        <v>0.97729508301867352</v>
      </c>
      <c r="R7" s="56">
        <v>1</v>
      </c>
    </row>
    <row r="8" spans="1:18">
      <c r="A8" s="8">
        <v>18</v>
      </c>
      <c r="B8" s="8">
        <v>65</v>
      </c>
      <c r="F8" s="8">
        <v>52</v>
      </c>
      <c r="G8" s="8">
        <v>59</v>
      </c>
      <c r="M8" s="8">
        <v>20</v>
      </c>
      <c r="N8" s="8">
        <v>80</v>
      </c>
    </row>
    <row r="9" spans="1:18">
      <c r="A9" s="8">
        <v>20</v>
      </c>
      <c r="B9" s="8">
        <v>70</v>
      </c>
      <c r="E9" s="10" t="s">
        <v>222</v>
      </c>
      <c r="F9" s="8">
        <v>53</v>
      </c>
      <c r="G9" s="8">
        <v>60</v>
      </c>
      <c r="M9" s="8">
        <v>22</v>
      </c>
      <c r="N9" s="8">
        <v>82</v>
      </c>
    </row>
    <row r="10" spans="1:18">
      <c r="A10" s="8">
        <v>22</v>
      </c>
      <c r="B10" s="8">
        <v>75</v>
      </c>
      <c r="F10" s="8">
        <v>55</v>
      </c>
      <c r="G10" s="8">
        <v>61</v>
      </c>
      <c r="M10" s="8">
        <v>25</v>
      </c>
      <c r="N10" s="8">
        <v>85</v>
      </c>
    </row>
    <row r="11" spans="1:18">
      <c r="A11" s="8">
        <v>25</v>
      </c>
      <c r="B11" s="8">
        <v>80</v>
      </c>
      <c r="F11" s="8">
        <v>56</v>
      </c>
      <c r="G11" s="8">
        <v>62</v>
      </c>
      <c r="M11" s="8">
        <v>28</v>
      </c>
      <c r="N11" s="8">
        <v>88</v>
      </c>
    </row>
    <row r="12" spans="1:18">
      <c r="A12" s="8">
        <v>28</v>
      </c>
      <c r="B12" s="8">
        <v>85</v>
      </c>
      <c r="F12" s="8">
        <v>58</v>
      </c>
      <c r="G12" s="8">
        <v>64</v>
      </c>
      <c r="M12" s="8">
        <v>30</v>
      </c>
      <c r="N12" s="8">
        <v>90</v>
      </c>
    </row>
    <row r="13" spans="1:18">
      <c r="A13" s="8">
        <v>30</v>
      </c>
      <c r="B13" s="8">
        <v>90</v>
      </c>
      <c r="F13" s="8">
        <v>60</v>
      </c>
      <c r="G13" s="8">
        <v>66</v>
      </c>
      <c r="M13" s="8">
        <v>32</v>
      </c>
      <c r="N13" s="8">
        <v>92</v>
      </c>
    </row>
    <row r="14" spans="1:18">
      <c r="A14" s="8">
        <v>32</v>
      </c>
      <c r="B14" s="8">
        <v>95</v>
      </c>
      <c r="F14" s="8">
        <v>62</v>
      </c>
      <c r="G14" s="8">
        <v>67</v>
      </c>
      <c r="M14" s="8">
        <v>35</v>
      </c>
      <c r="N14" s="8">
        <v>93</v>
      </c>
    </row>
    <row r="15" spans="1:18">
      <c r="A15" s="8">
        <v>35</v>
      </c>
      <c r="B15" s="8">
        <v>100</v>
      </c>
      <c r="F15" s="8">
        <v>64</v>
      </c>
      <c r="G15" s="8">
        <v>69</v>
      </c>
      <c r="M15" s="8">
        <v>38</v>
      </c>
      <c r="N15" s="8">
        <v>95</v>
      </c>
    </row>
    <row r="16" spans="1:18">
      <c r="A16" s="8">
        <v>38</v>
      </c>
      <c r="B16" s="8">
        <v>105</v>
      </c>
      <c r="F16" s="8">
        <v>65</v>
      </c>
      <c r="G16" s="8">
        <v>71</v>
      </c>
      <c r="M16" s="8">
        <v>40</v>
      </c>
      <c r="N16" s="8">
        <v>96</v>
      </c>
    </row>
    <row r="17" spans="1:14">
      <c r="F17" s="8">
        <v>67</v>
      </c>
      <c r="G17" s="8">
        <v>73</v>
      </c>
      <c r="M17" s="8">
        <v>42</v>
      </c>
      <c r="N17" s="8">
        <v>97</v>
      </c>
    </row>
    <row r="18" spans="1:14" ht="13.5" thickBot="1">
      <c r="F18" s="8">
        <v>69</v>
      </c>
      <c r="G18" s="8">
        <v>74</v>
      </c>
      <c r="M18" s="8">
        <v>45</v>
      </c>
      <c r="N18" s="8">
        <v>98</v>
      </c>
    </row>
    <row r="19" spans="1:14">
      <c r="A19" s="57"/>
      <c r="B19" s="57" t="s">
        <v>357</v>
      </c>
      <c r="C19" s="57" t="s">
        <v>358</v>
      </c>
      <c r="F19" s="8">
        <v>70</v>
      </c>
      <c r="G19" s="8">
        <v>76</v>
      </c>
      <c r="M19" s="8">
        <v>48</v>
      </c>
      <c r="N19" s="8">
        <v>99</v>
      </c>
    </row>
    <row r="20" spans="1:14">
      <c r="A20" s="55" t="s">
        <v>357</v>
      </c>
      <c r="B20" s="55">
        <v>1</v>
      </c>
      <c r="C20" s="55"/>
      <c r="F20" s="8">
        <v>72</v>
      </c>
      <c r="G20" s="8">
        <v>78</v>
      </c>
      <c r="M20" s="8">
        <v>50</v>
      </c>
      <c r="N20" s="8">
        <v>100</v>
      </c>
    </row>
    <row r="21" spans="1:14" ht="13.5" thickBot="1">
      <c r="A21" s="56" t="s">
        <v>358</v>
      </c>
      <c r="B21" s="56">
        <v>0.99921031003664817</v>
      </c>
      <c r="C21" s="56">
        <v>1</v>
      </c>
      <c r="F21" s="8">
        <v>74</v>
      </c>
      <c r="G21" s="8">
        <v>80</v>
      </c>
      <c r="M21" s="8">
        <v>52</v>
      </c>
      <c r="N21" s="8">
        <v>102</v>
      </c>
    </row>
    <row r="22" spans="1:14">
      <c r="F22" s="8">
        <v>76</v>
      </c>
      <c r="G22" s="8">
        <v>82</v>
      </c>
      <c r="M22" s="8">
        <v>55</v>
      </c>
      <c r="N22" s="8">
        <v>105</v>
      </c>
    </row>
    <row r="23" spans="1:14">
      <c r="F23" s="8">
        <v>77</v>
      </c>
      <c r="G23" s="8">
        <v>83</v>
      </c>
      <c r="M23" s="8">
        <v>58</v>
      </c>
      <c r="N23" s="8">
        <v>106</v>
      </c>
    </row>
    <row r="24" spans="1:14">
      <c r="M24" s="8">
        <v>60</v>
      </c>
      <c r="N24" s="8">
        <v>107</v>
      </c>
    </row>
    <row r="25" spans="1:14">
      <c r="M25" s="8">
        <v>62</v>
      </c>
      <c r="N25" s="8">
        <v>108</v>
      </c>
    </row>
    <row r="26" spans="1:14">
      <c r="M26" s="8">
        <v>65</v>
      </c>
      <c r="N26" s="8">
        <v>110</v>
      </c>
    </row>
    <row r="27" spans="1:14">
      <c r="M27" s="8">
        <v>68</v>
      </c>
      <c r="N27" s="8">
        <v>112</v>
      </c>
    </row>
    <row r="28" spans="1:14">
      <c r="M28" s="8">
        <v>70</v>
      </c>
      <c r="N28" s="8">
        <v>114</v>
      </c>
    </row>
    <row r="29" spans="1:14">
      <c r="M29" s="8">
        <v>72</v>
      </c>
      <c r="N29" s="8">
        <v>115</v>
      </c>
    </row>
    <row r="30" spans="1:14">
      <c r="M30" s="8">
        <v>75</v>
      </c>
      <c r="N30" s="8">
        <v>116</v>
      </c>
    </row>
    <row r="31" spans="1:14">
      <c r="M31" s="8">
        <v>78</v>
      </c>
      <c r="N31" s="8">
        <v>118</v>
      </c>
    </row>
    <row r="32" spans="1:14">
      <c r="M32" s="8">
        <v>80</v>
      </c>
      <c r="N32" s="8">
        <v>120</v>
      </c>
    </row>
    <row r="33" spans="13:14">
      <c r="M33" s="8">
        <v>82</v>
      </c>
      <c r="N33" s="8">
        <v>122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00E4E-E470-46E3-82AD-EB86F0B3EC11}">
  <dimension ref="A1:D41"/>
  <sheetViews>
    <sheetView topLeftCell="A40" workbookViewId="0">
      <selection activeCell="A19" sqref="A19"/>
    </sheetView>
  </sheetViews>
  <sheetFormatPr defaultRowHeight="12.75"/>
  <cols>
    <col min="1" max="1" width="255.83203125" bestFit="1" customWidth="1"/>
    <col min="2" max="2" width="10.5" customWidth="1"/>
  </cols>
  <sheetData>
    <row r="1" spans="1:4">
      <c r="A1" s="58" t="s">
        <v>363</v>
      </c>
    </row>
    <row r="2" spans="1:4">
      <c r="A2" t="s">
        <v>222</v>
      </c>
    </row>
    <row r="3" spans="1:4">
      <c r="A3" s="10" t="s">
        <v>364</v>
      </c>
    </row>
    <row r="4" spans="1:4">
      <c r="A4" s="61">
        <f>_xlfn.BINOM.DIST(5,100,1/6,0)</f>
        <v>2.9090311057530159E-4</v>
      </c>
    </row>
    <row r="5" spans="1:4">
      <c r="A5" t="s">
        <v>222</v>
      </c>
    </row>
    <row r="6" spans="1:4" ht="31.5" customHeight="1">
      <c r="A6" s="60" t="s">
        <v>368</v>
      </c>
    </row>
    <row r="7" spans="1:4">
      <c r="A7" s="61">
        <f>_xlfn.HYPGEOM.DIST(2,5,13,52,0)</f>
        <v>0.27427971188475386</v>
      </c>
      <c r="D7" s="10" t="s">
        <v>222</v>
      </c>
    </row>
    <row r="9" spans="1:4">
      <c r="B9" s="10" t="s">
        <v>222</v>
      </c>
    </row>
    <row r="10" spans="1:4" ht="60" customHeight="1">
      <c r="A10" s="60" t="s">
        <v>367</v>
      </c>
    </row>
    <row r="11" spans="1:4">
      <c r="A11" s="61">
        <f>1-_xlfn.BINOM.DIST(7,10,0.25,TRUE)</f>
        <v>4.15802001953125E-4</v>
      </c>
    </row>
    <row r="12" spans="1:4">
      <c r="A12" t="s">
        <v>222</v>
      </c>
    </row>
    <row r="13" spans="1:4" ht="13.5" customHeight="1"/>
    <row r="14" spans="1:4" ht="38.25">
      <c r="A14" s="60" t="s">
        <v>369</v>
      </c>
    </row>
    <row r="15" spans="1:4">
      <c r="A15" s="61">
        <f>_xlfn.HYPGEOM.DIST(3,3,20,60,0)</f>
        <v>3.3313851548801864E-2</v>
      </c>
    </row>
    <row r="17" spans="1:1">
      <c r="A17" t="s">
        <v>222</v>
      </c>
    </row>
    <row r="18" spans="1:1" ht="45.75" customHeight="1">
      <c r="A18" s="60" t="s">
        <v>370</v>
      </c>
    </row>
    <row r="19" spans="1:1">
      <c r="A19" s="61">
        <f>_xlfn.BINOM.DIST(3,10,0.3,FALSE)</f>
        <v>0.26682793200000005</v>
      </c>
    </row>
    <row r="20" spans="1:1">
      <c r="A20" t="s">
        <v>222</v>
      </c>
    </row>
    <row r="21" spans="1:1">
      <c r="A21" s="59" t="s">
        <v>365</v>
      </c>
    </row>
    <row r="22" spans="1:1">
      <c r="A22" t="s">
        <v>222</v>
      </c>
    </row>
    <row r="24" spans="1:1" ht="71.25" customHeight="1">
      <c r="A24" s="60" t="s">
        <v>371</v>
      </c>
    </row>
    <row r="25" spans="1:1">
      <c r="A25" s="61">
        <f>1-_xlfn.NORM.DIST(180,165,10,1)</f>
        <v>6.6807201268858085E-2</v>
      </c>
    </row>
    <row r="27" spans="1:1" ht="44.25" customHeight="1">
      <c r="A27" s="60" t="s">
        <v>366</v>
      </c>
    </row>
    <row r="28" spans="1:1">
      <c r="A28" s="61">
        <f>_xlfn.EXPON.DIST(3,1/5,1)</f>
        <v>0.45118836390597356</v>
      </c>
    </row>
    <row r="29" spans="1:1">
      <c r="A29" t="s">
        <v>222</v>
      </c>
    </row>
    <row r="31" spans="1:1" ht="66.75" customHeight="1">
      <c r="A31" s="60" t="s">
        <v>372</v>
      </c>
    </row>
    <row r="32" spans="1:1" ht="16.5" customHeight="1">
      <c r="A32" s="61">
        <f>_xlfn.NORM.DIST(1100,1000,100,1)-_xlfn.NORM.DIST(900,1000,100,1)</f>
        <v>0.68268949213708607</v>
      </c>
    </row>
    <row r="33" spans="1:1" ht="10.5" customHeight="1">
      <c r="A33" s="62"/>
    </row>
    <row r="34" spans="1:1" ht="12.75" customHeight="1"/>
    <row r="35" spans="1:1" ht="51">
      <c r="A35" s="60" t="s">
        <v>373</v>
      </c>
    </row>
    <row r="36" spans="1:1" ht="15.75" customHeight="1">
      <c r="A36" s="61">
        <f>(170-150)/(200-100)</f>
        <v>0.2</v>
      </c>
    </row>
    <row r="37" spans="1:1" ht="15.75" customHeight="1"/>
    <row r="38" spans="1:1" ht="12.75" customHeight="1"/>
    <row r="39" spans="1:1" ht="51">
      <c r="A39" s="60" t="s">
        <v>374</v>
      </c>
    </row>
    <row r="40" spans="1:1">
      <c r="A40" s="61">
        <f>_xlfn.EXPON.DIST(15,1/20,1)</f>
        <v>0.52763344725898531</v>
      </c>
    </row>
    <row r="41" spans="1:1">
      <c r="A41" t="s">
        <v>222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230F5-3B51-4A35-A2F2-AD9739E5FEBF}">
  <dimension ref="A1:M18"/>
  <sheetViews>
    <sheetView workbookViewId="0">
      <selection activeCell="A18" sqref="A18"/>
    </sheetView>
  </sheetViews>
  <sheetFormatPr defaultRowHeight="12.75"/>
  <cols>
    <col min="1" max="1" width="148" customWidth="1"/>
  </cols>
  <sheetData>
    <row r="1" spans="1:13">
      <c r="A1" s="64" t="s">
        <v>375</v>
      </c>
    </row>
    <row r="3" spans="1:13" ht="61.5" customHeight="1">
      <c r="A3" s="65" t="s">
        <v>381</v>
      </c>
      <c r="C3" s="10" t="s">
        <v>222</v>
      </c>
      <c r="M3" s="60"/>
    </row>
    <row r="4" spans="1:13">
      <c r="A4" s="61">
        <f>_xlfn.POISSON.DIST(3,2,FALSE)</f>
        <v>0.18044704431548364</v>
      </c>
    </row>
    <row r="6" spans="1:13" ht="38.25">
      <c r="A6" s="60" t="s">
        <v>376</v>
      </c>
    </row>
    <row r="7" spans="1:13">
      <c r="A7" s="61">
        <f>1-_xlfn.BINOM.DIST(3,10,0.3,TRUE)</f>
        <v>0.35038928160000005</v>
      </c>
    </row>
    <row r="9" spans="1:13" ht="19.5" customHeight="1">
      <c r="A9" t="s">
        <v>377</v>
      </c>
    </row>
    <row r="10" spans="1:13">
      <c r="A10" s="61">
        <f>1-_xlfn.BINOM.DIST(1,3,1/6,FALSE)</f>
        <v>0.65277777777777768</v>
      </c>
    </row>
    <row r="12" spans="1:13">
      <c r="A12" s="63" t="s">
        <v>378</v>
      </c>
    </row>
    <row r="14" spans="1:13" ht="68.25" customHeight="1">
      <c r="A14" s="65" t="s">
        <v>379</v>
      </c>
      <c r="F14" s="10" t="s">
        <v>222</v>
      </c>
    </row>
    <row r="15" spans="1:13">
      <c r="A15" s="61">
        <f>_xlfn.NORM.DIST(160,150,10,TRUE)-_xlfn.NORM.DIST(140,150,10,TRUE)</f>
        <v>0.68268949213708607</v>
      </c>
    </row>
    <row r="17" spans="1:1" ht="54" customHeight="1">
      <c r="A17" s="65" t="s">
        <v>380</v>
      </c>
    </row>
    <row r="18" spans="1:1">
      <c r="A18" s="61">
        <f>_xlfn.EXPON.DIST(900,1/1000,FALSE)</f>
        <v>4.0656965974059914E-4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BE63-4208-4CD0-A1AA-21CC34AE6204}">
  <dimension ref="A1:A14"/>
  <sheetViews>
    <sheetView workbookViewId="0">
      <selection activeCell="A14" sqref="A14"/>
    </sheetView>
  </sheetViews>
  <sheetFormatPr defaultRowHeight="12.75"/>
  <cols>
    <col min="1" max="1" width="101" customWidth="1"/>
  </cols>
  <sheetData>
    <row r="1" spans="1:1">
      <c r="A1" s="66" t="s">
        <v>382</v>
      </c>
    </row>
    <row r="3" spans="1:1" ht="75" customHeight="1">
      <c r="A3" s="65" t="s">
        <v>383</v>
      </c>
    </row>
    <row r="4" spans="1:1">
      <c r="A4" s="61">
        <f>_xlfn.CONFIDENCE.NORM(0.05,8,100)</f>
        <v>1.567971187632043</v>
      </c>
    </row>
    <row r="6" spans="1:1" ht="73.5" customHeight="1">
      <c r="A6" s="60" t="s">
        <v>384</v>
      </c>
    </row>
    <row r="7" spans="1:1">
      <c r="A7" t="s">
        <v>388</v>
      </c>
    </row>
    <row r="8" spans="1:1">
      <c r="A8" s="10" t="s">
        <v>389</v>
      </c>
    </row>
    <row r="9" spans="1:1">
      <c r="A9" t="s">
        <v>390</v>
      </c>
    </row>
    <row r="10" spans="1:1">
      <c r="A10" t="s">
        <v>391</v>
      </c>
    </row>
    <row r="11" spans="1:1">
      <c r="A11" s="60">
        <f>320/500</f>
        <v>0.64</v>
      </c>
    </row>
    <row r="12" spans="1:1">
      <c r="A12" t="s">
        <v>392</v>
      </c>
    </row>
    <row r="13" spans="1:1">
      <c r="A13">
        <f>SQRT(0.64*(1-0.64))</f>
        <v>0.48</v>
      </c>
    </row>
    <row r="14" spans="1:1">
      <c r="A14" s="67">
        <f>_xlfn.CONFIDENCE.NORM(0.1,0.48,500)</f>
        <v>3.5308843419845477E-2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9FF3C-81A9-4F3B-8FA0-97B4F6EF9359}">
  <dimension ref="A1:AB67"/>
  <sheetViews>
    <sheetView tabSelected="1" workbookViewId="0">
      <selection activeCell="A45" sqref="A45"/>
    </sheetView>
  </sheetViews>
  <sheetFormatPr defaultRowHeight="12.75"/>
  <cols>
    <col min="1" max="1" width="35.6640625" customWidth="1"/>
    <col min="2" max="2" width="16.5" bestFit="1" customWidth="1"/>
    <col min="3" max="3" width="21.1640625" bestFit="1" customWidth="1"/>
    <col min="5" max="5" width="35" bestFit="1" customWidth="1"/>
    <col min="6" max="6" width="20.6640625" bestFit="1" customWidth="1"/>
    <col min="8" max="8" width="35" bestFit="1" customWidth="1"/>
    <col min="9" max="9" width="14" bestFit="1" customWidth="1"/>
    <col min="10" max="10" width="20.1640625" bestFit="1" customWidth="1"/>
    <col min="12" max="12" width="12.1640625" bestFit="1" customWidth="1"/>
    <col min="15" max="15" width="9.6640625" bestFit="1" customWidth="1"/>
  </cols>
  <sheetData>
    <row r="1" spans="1:19">
      <c r="A1" s="59" t="s">
        <v>385</v>
      </c>
    </row>
    <row r="3" spans="1:19" ht="101.25" customHeight="1">
      <c r="A3" s="60" t="s">
        <v>386</v>
      </c>
    </row>
    <row r="4" spans="1:19">
      <c r="A4" s="60"/>
    </row>
    <row r="5" spans="1:19" ht="25.5">
      <c r="A5" s="60" t="s">
        <v>393</v>
      </c>
      <c r="H5" t="s">
        <v>222</v>
      </c>
    </row>
    <row r="6" spans="1:19">
      <c r="A6" s="60" t="s">
        <v>394</v>
      </c>
      <c r="L6" s="104" t="s">
        <v>412</v>
      </c>
    </row>
    <row r="7" spans="1:19">
      <c r="A7" s="60"/>
      <c r="B7" s="68" t="s">
        <v>396</v>
      </c>
      <c r="C7" s="68" t="s">
        <v>395</v>
      </c>
      <c r="E7" s="105" t="s">
        <v>397</v>
      </c>
      <c r="H7" t="s">
        <v>402</v>
      </c>
    </row>
    <row r="8" spans="1:19" ht="13.5" thickBot="1">
      <c r="A8" s="60"/>
      <c r="B8" s="69">
        <v>34</v>
      </c>
      <c r="C8" s="69">
        <v>67</v>
      </c>
      <c r="L8" s="106" t="s">
        <v>413</v>
      </c>
      <c r="M8" s="51"/>
      <c r="N8" s="106" t="s">
        <v>414</v>
      </c>
      <c r="O8" s="10"/>
    </row>
    <row r="9" spans="1:19">
      <c r="A9" s="60"/>
      <c r="B9" s="69">
        <v>34</v>
      </c>
      <c r="C9" s="69">
        <v>68</v>
      </c>
      <c r="E9" s="98" t="s">
        <v>398</v>
      </c>
      <c r="F9" t="s">
        <v>400</v>
      </c>
      <c r="H9" s="102"/>
      <c r="I9" s="102" t="s">
        <v>396</v>
      </c>
      <c r="J9" s="102" t="s">
        <v>395</v>
      </c>
      <c r="L9" s="107">
        <v>2.109815577833317</v>
      </c>
      <c r="M9" s="108" t="s">
        <v>417</v>
      </c>
      <c r="N9" s="107">
        <v>-1.5905949852132606</v>
      </c>
      <c r="O9" s="10" t="s">
        <v>418</v>
      </c>
      <c r="P9" s="103" t="s">
        <v>419</v>
      </c>
      <c r="Q9" s="98"/>
      <c r="R9" s="98"/>
      <c r="S9" s="98"/>
    </row>
    <row r="10" spans="1:19">
      <c r="A10" s="60"/>
      <c r="B10" s="69">
        <v>67</v>
      </c>
      <c r="C10" s="69">
        <v>68</v>
      </c>
      <c r="E10" s="98" t="s">
        <v>399</v>
      </c>
      <c r="F10" t="s">
        <v>401</v>
      </c>
      <c r="H10" s="100" t="s">
        <v>231</v>
      </c>
      <c r="I10" s="100">
        <v>59</v>
      </c>
      <c r="J10" s="100">
        <v>68.333333333333329</v>
      </c>
      <c r="L10" s="51"/>
      <c r="M10" s="51"/>
      <c r="N10" s="51"/>
    </row>
    <row r="11" spans="1:19">
      <c r="A11" s="60"/>
      <c r="B11" s="69">
        <v>45</v>
      </c>
      <c r="C11" s="69">
        <v>79</v>
      </c>
      <c r="H11" s="100" t="s">
        <v>236</v>
      </c>
      <c r="I11" s="100">
        <v>566.70588235294122</v>
      </c>
      <c r="J11" s="100">
        <v>193.76470588235293</v>
      </c>
      <c r="L11" s="106" t="s">
        <v>415</v>
      </c>
      <c r="M11" s="51"/>
      <c r="N11" s="106" t="s">
        <v>416</v>
      </c>
      <c r="O11" s="10" t="s">
        <v>418</v>
      </c>
      <c r="P11" s="103" t="s">
        <v>419</v>
      </c>
      <c r="Q11" s="98"/>
      <c r="R11" s="98"/>
      <c r="S11" s="98"/>
    </row>
    <row r="12" spans="1:19">
      <c r="A12" s="60"/>
      <c r="B12" s="69">
        <v>56</v>
      </c>
      <c r="C12" s="69">
        <v>35</v>
      </c>
      <c r="E12" s="99"/>
      <c r="F12" s="99"/>
      <c r="H12" s="100" t="s">
        <v>403</v>
      </c>
      <c r="I12" s="100">
        <v>18</v>
      </c>
      <c r="J12" s="100">
        <v>18</v>
      </c>
      <c r="L12" s="107">
        <v>0.13012385509153956</v>
      </c>
      <c r="M12" s="108" t="s">
        <v>417</v>
      </c>
      <c r="N12" s="107">
        <v>0.05</v>
      </c>
    </row>
    <row r="13" spans="1:19">
      <c r="A13" s="60"/>
      <c r="B13" s="69">
        <v>57</v>
      </c>
      <c r="C13" s="69">
        <v>79</v>
      </c>
      <c r="H13" s="100" t="s">
        <v>404</v>
      </c>
      <c r="I13" s="100">
        <v>0.21230785435779526</v>
      </c>
      <c r="J13" s="100"/>
    </row>
    <row r="14" spans="1:19">
      <c r="A14" s="60"/>
      <c r="B14" s="69">
        <v>23</v>
      </c>
      <c r="C14" s="69">
        <v>86</v>
      </c>
      <c r="H14" s="100" t="s">
        <v>405</v>
      </c>
      <c r="I14" s="100">
        <v>0</v>
      </c>
      <c r="J14" s="100"/>
    </row>
    <row r="15" spans="1:19">
      <c r="A15" s="60"/>
      <c r="B15" s="69">
        <v>89</v>
      </c>
      <c r="C15" s="69">
        <v>67</v>
      </c>
      <c r="H15" s="100" t="s">
        <v>406</v>
      </c>
      <c r="I15" s="100">
        <v>17</v>
      </c>
      <c r="J15" s="100"/>
      <c r="L15" s="104" t="s">
        <v>420</v>
      </c>
    </row>
    <row r="16" spans="1:19">
      <c r="A16" s="60"/>
      <c r="B16" s="69">
        <v>65</v>
      </c>
      <c r="C16" s="69">
        <v>54</v>
      </c>
      <c r="H16" s="100" t="s">
        <v>407</v>
      </c>
      <c r="I16" s="100">
        <v>-1.5905949852132606</v>
      </c>
      <c r="J16" s="100"/>
    </row>
    <row r="17" spans="1:28">
      <c r="A17" s="60"/>
      <c r="B17" s="69">
        <v>45</v>
      </c>
      <c r="C17" s="69">
        <v>67</v>
      </c>
      <c r="H17" s="100" t="s">
        <v>408</v>
      </c>
      <c r="I17" s="100">
        <v>6.5061927545769782E-2</v>
      </c>
      <c r="J17" s="100"/>
      <c r="L17" s="113" t="s">
        <v>431</v>
      </c>
      <c r="M17" s="109"/>
      <c r="N17" s="109"/>
      <c r="O17" s="109"/>
      <c r="P17" s="109"/>
      <c r="Q17" s="109"/>
      <c r="R17" s="109"/>
      <c r="S17" s="109"/>
      <c r="T17" s="109"/>
      <c r="U17" s="109"/>
      <c r="V17" s="109"/>
      <c r="W17" s="109"/>
      <c r="X17" s="109"/>
      <c r="Y17" s="109"/>
      <c r="Z17" s="98"/>
      <c r="AA17" s="98"/>
      <c r="AB17" s="98"/>
    </row>
    <row r="18" spans="1:28">
      <c r="A18" s="60"/>
      <c r="B18" s="69">
        <v>57</v>
      </c>
      <c r="C18" s="69">
        <v>65</v>
      </c>
      <c r="H18" s="100" t="s">
        <v>409</v>
      </c>
      <c r="I18" s="100">
        <v>1.7396067260750732</v>
      </c>
      <c r="J18" s="100"/>
      <c r="L18" s="109" t="s">
        <v>421</v>
      </c>
      <c r="M18" s="109"/>
      <c r="N18" s="109"/>
      <c r="O18" s="109"/>
      <c r="P18" s="109"/>
      <c r="Q18" s="109"/>
      <c r="R18" s="109"/>
      <c r="S18" s="109"/>
      <c r="T18" s="109"/>
      <c r="U18" s="109"/>
      <c r="V18" s="109"/>
      <c r="W18" s="109"/>
      <c r="X18" s="109"/>
      <c r="Y18" s="109"/>
      <c r="Z18" s="98"/>
      <c r="AA18" s="98"/>
      <c r="AB18" s="98"/>
    </row>
    <row r="19" spans="1:28">
      <c r="A19" s="60"/>
      <c r="B19" s="69">
        <v>33</v>
      </c>
      <c r="C19" s="69">
        <v>57</v>
      </c>
      <c r="H19" s="100" t="s">
        <v>410</v>
      </c>
      <c r="I19" s="100">
        <v>0.13012385509153956</v>
      </c>
      <c r="J19" s="100"/>
    </row>
    <row r="20" spans="1:28" ht="13.5" thickBot="1">
      <c r="A20" s="60"/>
      <c r="B20" s="69">
        <v>38</v>
      </c>
      <c r="C20" s="69">
        <v>57</v>
      </c>
      <c r="H20" s="101" t="s">
        <v>411</v>
      </c>
      <c r="I20" s="101">
        <v>2.109815577833317</v>
      </c>
      <c r="J20" s="101"/>
      <c r="M20" s="10" t="s">
        <v>222</v>
      </c>
    </row>
    <row r="21" spans="1:28">
      <c r="A21" s="60"/>
      <c r="B21" s="69">
        <v>93</v>
      </c>
      <c r="C21" s="69">
        <v>56</v>
      </c>
    </row>
    <row r="22" spans="1:28">
      <c r="A22" s="60"/>
      <c r="B22" s="69">
        <v>97</v>
      </c>
      <c r="C22" s="69">
        <v>89</v>
      </c>
    </row>
    <row r="23" spans="1:28">
      <c r="A23" s="60"/>
      <c r="B23" s="69">
        <v>75</v>
      </c>
      <c r="C23" s="69">
        <v>79</v>
      </c>
      <c r="I23" s="10" t="s">
        <v>222</v>
      </c>
    </row>
    <row r="24" spans="1:28">
      <c r="A24" s="60"/>
      <c r="B24" s="69">
        <v>100</v>
      </c>
      <c r="C24" s="69">
        <v>90</v>
      </c>
    </row>
    <row r="25" spans="1:28">
      <c r="A25" s="60"/>
      <c r="B25" s="69">
        <v>54</v>
      </c>
      <c r="C25" s="69">
        <v>67</v>
      </c>
    </row>
    <row r="26" spans="1:28">
      <c r="A26" s="60"/>
    </row>
    <row r="27" spans="1:28">
      <c r="A27" s="60"/>
    </row>
    <row r="30" spans="1:28" ht="166.5" customHeight="1">
      <c r="A30" s="65" t="s">
        <v>387</v>
      </c>
    </row>
    <row r="31" spans="1:28">
      <c r="A31" s="114" t="s">
        <v>427</v>
      </c>
    </row>
    <row r="32" spans="1:28">
      <c r="A32" s="10" t="s">
        <v>428</v>
      </c>
      <c r="B32" s="104" t="s">
        <v>397</v>
      </c>
      <c r="I32" s="104" t="s">
        <v>412</v>
      </c>
    </row>
    <row r="33" spans="1:22">
      <c r="A33" s="10" t="s">
        <v>429</v>
      </c>
    </row>
    <row r="34" spans="1:22">
      <c r="A34" s="10" t="s">
        <v>430</v>
      </c>
      <c r="B34" s="103" t="s">
        <v>422</v>
      </c>
      <c r="C34" s="10" t="s">
        <v>400</v>
      </c>
      <c r="I34" s="115" t="s">
        <v>432</v>
      </c>
      <c r="J34" s="51"/>
      <c r="K34" s="115" t="s">
        <v>433</v>
      </c>
    </row>
    <row r="35" spans="1:22">
      <c r="B35" s="103" t="s">
        <v>423</v>
      </c>
      <c r="C35" s="10" t="s">
        <v>424</v>
      </c>
      <c r="I35" s="107">
        <v>2.06</v>
      </c>
      <c r="J35" s="108" t="s">
        <v>417</v>
      </c>
      <c r="K35" s="107">
        <v>-2.42</v>
      </c>
      <c r="L35" s="10" t="s">
        <v>418</v>
      </c>
      <c r="M35" s="10" t="s">
        <v>419</v>
      </c>
    </row>
    <row r="36" spans="1:22">
      <c r="I36" s="51"/>
      <c r="J36" s="51"/>
      <c r="K36" s="51"/>
    </row>
    <row r="37" spans="1:22">
      <c r="B37" s="32" t="s">
        <v>425</v>
      </c>
      <c r="C37" s="32" t="s">
        <v>426</v>
      </c>
      <c r="I37" s="115" t="s">
        <v>434</v>
      </c>
      <c r="J37" s="51"/>
      <c r="K37" s="115" t="s">
        <v>416</v>
      </c>
      <c r="L37" s="10" t="s">
        <v>418</v>
      </c>
      <c r="M37" s="10" t="s">
        <v>436</v>
      </c>
    </row>
    <row r="38" spans="1:22">
      <c r="B38" s="112">
        <v>501</v>
      </c>
      <c r="C38" s="8">
        <v>500</v>
      </c>
      <c r="E38" t="s">
        <v>402</v>
      </c>
      <c r="I38" s="107">
        <v>2.3E-2</v>
      </c>
      <c r="J38" s="108" t="s">
        <v>435</v>
      </c>
      <c r="K38" s="107">
        <v>0.05</v>
      </c>
    </row>
    <row r="39" spans="1:22" ht="13.5" thickBot="1">
      <c r="B39" s="112">
        <v>502</v>
      </c>
      <c r="C39" s="8">
        <v>500</v>
      </c>
    </row>
    <row r="40" spans="1:22">
      <c r="B40" s="112">
        <v>498</v>
      </c>
      <c r="C40" s="8">
        <v>500</v>
      </c>
      <c r="E40" s="102"/>
      <c r="F40" s="102" t="s">
        <v>425</v>
      </c>
      <c r="G40" s="102" t="s">
        <v>426</v>
      </c>
    </row>
    <row r="41" spans="1:22">
      <c r="B41" s="112">
        <v>411</v>
      </c>
      <c r="C41" s="8">
        <v>500</v>
      </c>
      <c r="E41" s="100" t="s">
        <v>231</v>
      </c>
      <c r="F41" s="100">
        <v>486.28</v>
      </c>
      <c r="G41" s="100">
        <v>500</v>
      </c>
      <c r="I41" s="104" t="s">
        <v>420</v>
      </c>
    </row>
    <row r="42" spans="1:22">
      <c r="B42" s="112">
        <v>492</v>
      </c>
      <c r="C42" s="8">
        <v>500</v>
      </c>
      <c r="E42" s="100" t="s">
        <v>236</v>
      </c>
      <c r="F42" s="100">
        <v>800.71</v>
      </c>
      <c r="G42" s="100">
        <v>0</v>
      </c>
    </row>
    <row r="43" spans="1:22">
      <c r="B43" s="112">
        <v>509</v>
      </c>
      <c r="C43" s="8">
        <v>500</v>
      </c>
      <c r="E43" s="100" t="s">
        <v>403</v>
      </c>
      <c r="F43" s="100">
        <v>25</v>
      </c>
      <c r="G43" s="100">
        <v>25</v>
      </c>
      <c r="I43" s="103" t="s">
        <v>437</v>
      </c>
      <c r="J43" s="98"/>
      <c r="K43" s="98"/>
      <c r="L43" s="98"/>
      <c r="M43" s="98"/>
      <c r="N43" s="98"/>
      <c r="O43" s="98"/>
      <c r="P43" s="98"/>
      <c r="Q43" s="98"/>
      <c r="R43" s="98"/>
      <c r="S43" s="98"/>
      <c r="T43" s="98"/>
      <c r="U43" s="98"/>
      <c r="V43" s="98"/>
    </row>
    <row r="44" spans="1:22">
      <c r="B44" s="112">
        <v>501</v>
      </c>
      <c r="C44" s="8">
        <v>500</v>
      </c>
      <c r="E44" s="100" t="s">
        <v>404</v>
      </c>
      <c r="F44" s="100" t="e">
        <v>#DIV/0!</v>
      </c>
      <c r="G44" s="100"/>
    </row>
    <row r="45" spans="1:22">
      <c r="B45" s="112">
        <v>502</v>
      </c>
      <c r="C45" s="8">
        <v>500</v>
      </c>
      <c r="E45" s="100" t="s">
        <v>405</v>
      </c>
      <c r="F45" s="100">
        <v>0</v>
      </c>
      <c r="G45" s="100"/>
    </row>
    <row r="46" spans="1:22">
      <c r="B46" s="112">
        <v>491</v>
      </c>
      <c r="C46" s="8">
        <v>500</v>
      </c>
      <c r="E46" s="100" t="s">
        <v>406</v>
      </c>
      <c r="F46" s="100">
        <v>24</v>
      </c>
      <c r="G46" s="100"/>
    </row>
    <row r="47" spans="1:22">
      <c r="B47" s="112">
        <v>475</v>
      </c>
      <c r="C47" s="8">
        <v>500</v>
      </c>
      <c r="E47" s="100" t="s">
        <v>407</v>
      </c>
      <c r="F47" s="100">
        <v>-2.4243007146113409</v>
      </c>
      <c r="G47" s="100"/>
    </row>
    <row r="48" spans="1:22">
      <c r="B48" s="112">
        <v>484</v>
      </c>
      <c r="C48" s="8">
        <v>500</v>
      </c>
      <c r="E48" s="100" t="s">
        <v>408</v>
      </c>
      <c r="F48" s="100">
        <v>1.1618708918485904E-2</v>
      </c>
      <c r="G48" s="100"/>
    </row>
    <row r="49" spans="2:7">
      <c r="B49" s="112">
        <v>503</v>
      </c>
      <c r="C49" s="8">
        <v>500</v>
      </c>
      <c r="E49" s="100" t="s">
        <v>409</v>
      </c>
      <c r="F49" s="100">
        <v>1.7108820799094284</v>
      </c>
      <c r="G49" s="100"/>
    </row>
    <row r="50" spans="2:7">
      <c r="B50" s="112">
        <v>409</v>
      </c>
      <c r="C50" s="8">
        <v>500</v>
      </c>
      <c r="E50" s="100" t="s">
        <v>410</v>
      </c>
      <c r="F50" s="100">
        <v>2.3237417836971808E-2</v>
      </c>
      <c r="G50" s="100"/>
    </row>
    <row r="51" spans="2:7" ht="13.5" thickBot="1">
      <c r="B51" s="112">
        <v>511</v>
      </c>
      <c r="C51" s="8">
        <v>500</v>
      </c>
      <c r="E51" s="101" t="s">
        <v>411</v>
      </c>
      <c r="F51" s="101">
        <v>2.0638985616280254</v>
      </c>
      <c r="G51" s="101"/>
    </row>
    <row r="52" spans="2:7">
      <c r="B52" s="112">
        <v>497</v>
      </c>
      <c r="C52" s="8">
        <v>500</v>
      </c>
    </row>
    <row r="53" spans="2:7">
      <c r="B53" s="112">
        <v>501</v>
      </c>
      <c r="C53" s="8">
        <v>500</v>
      </c>
    </row>
    <row r="54" spans="2:7">
      <c r="B54" s="112">
        <v>502</v>
      </c>
      <c r="C54" s="8">
        <v>500</v>
      </c>
    </row>
    <row r="55" spans="2:7">
      <c r="B55" s="112">
        <v>497</v>
      </c>
      <c r="C55" s="8">
        <v>500</v>
      </c>
    </row>
    <row r="56" spans="2:7">
      <c r="B56" s="112">
        <v>499</v>
      </c>
      <c r="C56" s="8">
        <v>500</v>
      </c>
    </row>
    <row r="57" spans="2:7">
      <c r="B57" s="112">
        <v>500</v>
      </c>
      <c r="C57" s="8">
        <v>500</v>
      </c>
    </row>
    <row r="58" spans="2:7">
      <c r="B58" s="112">
        <v>500</v>
      </c>
      <c r="C58" s="8">
        <v>500</v>
      </c>
    </row>
    <row r="59" spans="2:7">
      <c r="B59" s="112">
        <v>503</v>
      </c>
      <c r="C59" s="8">
        <v>500</v>
      </c>
    </row>
    <row r="60" spans="2:7">
      <c r="B60" s="112">
        <v>478</v>
      </c>
      <c r="C60" s="8">
        <v>500</v>
      </c>
    </row>
    <row r="61" spans="2:7">
      <c r="B61" s="112">
        <v>448</v>
      </c>
      <c r="C61" s="8">
        <v>500</v>
      </c>
    </row>
    <row r="62" spans="2:7">
      <c r="B62" s="112">
        <v>443</v>
      </c>
      <c r="C62" s="8">
        <v>500</v>
      </c>
    </row>
    <row r="63" spans="2:7">
      <c r="B63" s="111"/>
      <c r="C63" s="111"/>
    </row>
    <row r="64" spans="2:7">
      <c r="B64" s="111"/>
      <c r="C64" s="111"/>
    </row>
    <row r="65" spans="2:3">
      <c r="B65" s="111"/>
      <c r="C65" s="111"/>
    </row>
    <row r="66" spans="2:3">
      <c r="B66" s="111"/>
      <c r="C66" s="111"/>
    </row>
    <row r="67" spans="2:3">
      <c r="B67" s="111"/>
      <c r="C67" s="1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Table 1</vt:lpstr>
      <vt:lpstr>measure of central tendancy </vt:lpstr>
      <vt:lpstr>Measure of Despersion</vt:lpstr>
      <vt:lpstr>More Statistics Question</vt:lpstr>
      <vt:lpstr>Measure of Skewness &amp; kurtosis</vt:lpstr>
      <vt:lpstr>Percentile &amp; Quartile</vt:lpstr>
      <vt:lpstr>corelation &amp; covariance</vt:lpstr>
      <vt:lpstr> discrete and continuous random</vt:lpstr>
      <vt:lpstr> Discrete and Continuous</vt:lpstr>
      <vt:lpstr>Confidence Interval </vt:lpstr>
      <vt:lpstr>Hypothesis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Yash Pandey</cp:lastModifiedBy>
  <dcterms:created xsi:type="dcterms:W3CDTF">2025-07-23T09:30:41Z</dcterms:created>
  <dcterms:modified xsi:type="dcterms:W3CDTF">2025-08-18T19:59:55Z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2025-07-23T00:00:00Z</vt:filetime>
  </property>
  <property fmtid="{D5CDD505-2E9C-101B-9397-08002B2CF9AE}" pid="3" name="LastSaved">
    <vt:filetime>2025-07-23T00:00:00Z</vt:filetime>
  </property>
  <property fmtid="{D5CDD505-2E9C-101B-9397-08002B2CF9AE}" pid="4" name="Producer">
    <vt:lpwstr>iLovePDF</vt:lpwstr>
  </property>
</Properties>
</file>